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HTAP-Training\"/>
    </mc:Choice>
  </mc:AlternateContent>
  <bookViews>
    <workbookView xWindow="0" yWindow="0" windowWidth="28800" windowHeight="12450"/>
  </bookViews>
  <sheets>
    <sheet name="Analysis" sheetId="1" r:id="rId1"/>
    <sheet name="Sheet3" sheetId="9" r:id="rId2"/>
    <sheet name="Columns" sheetId="8" state="hidden" r:id="rId3"/>
    <sheet name="Plot" sheetId="7" state="hidden" r:id="rId4"/>
    <sheet name="Export" sheetId="5" state="hidden" r:id="rId5"/>
    <sheet name="raw" sheetId="3" state="hidden" r:id="rId6"/>
    <sheet name="LIST" sheetId="2" state="hidden" r:id="rId7"/>
  </sheets>
  <definedNames>
    <definedName name="_xlnm._FilterDatabase" localSheetId="0" hidden="1">Analysis!$B$11:$R$618</definedName>
    <definedName name="_xlnm._FilterDatabase" localSheetId="3" hidden="1">Plot!$K$10:$P$164</definedName>
    <definedName name="htapOutputPath">Analysis!$C$6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" i="9" l="1"/>
  <c r="O27" i="9"/>
  <c r="O28" i="9"/>
  <c r="O29" i="9"/>
  <c r="O30" i="9"/>
  <c r="O31" i="9"/>
  <c r="O25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DA1" i="8"/>
  <c r="DB1" i="8"/>
  <c r="DC1" i="8"/>
  <c r="DD1" i="8"/>
  <c r="DE1" i="8"/>
  <c r="DF1" i="8"/>
  <c r="DG1" i="8"/>
  <c r="DH1" i="8"/>
  <c r="DI1" i="8"/>
  <c r="DJ1" i="8"/>
  <c r="DK1" i="8"/>
  <c r="DL1" i="8"/>
  <c r="DM1" i="8"/>
  <c r="DN1" i="8"/>
  <c r="DO1" i="8"/>
  <c r="DP1" i="8"/>
  <c r="DQ1" i="8"/>
  <c r="DR1" i="8"/>
  <c r="DS1" i="8"/>
  <c r="DT1" i="8"/>
  <c r="DU1" i="8"/>
  <c r="DV1" i="8"/>
  <c r="DW1" i="8"/>
  <c r="DX1" i="8"/>
  <c r="DY1" i="8"/>
  <c r="DZ1" i="8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X1" i="8"/>
  <c r="EY1" i="8"/>
  <c r="EZ1" i="8"/>
  <c r="FA1" i="8"/>
  <c r="FB1" i="8"/>
  <c r="FC1" i="8"/>
  <c r="FD1" i="8"/>
  <c r="FE1" i="8"/>
  <c r="FF1" i="8"/>
  <c r="FG1" i="8"/>
  <c r="FH1" i="8"/>
  <c r="FI1" i="8"/>
  <c r="FJ1" i="8"/>
  <c r="FK1" i="8"/>
  <c r="FL1" i="8"/>
  <c r="FM1" i="8"/>
  <c r="FN1" i="8"/>
  <c r="FO1" i="8"/>
  <c r="FP1" i="8"/>
  <c r="FQ1" i="8"/>
  <c r="FR1" i="8"/>
  <c r="FS1" i="8"/>
  <c r="FT1" i="8"/>
  <c r="FU1" i="8"/>
  <c r="FV1" i="8"/>
  <c r="FW1" i="8"/>
  <c r="FX1" i="8"/>
  <c r="FY1" i="8"/>
  <c r="FZ1" i="8"/>
  <c r="GA1" i="8"/>
  <c r="GB1" i="8"/>
  <c r="GC1" i="8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A1" i="8"/>
  <c r="H10" i="1" l="1"/>
  <c r="G10" i="1"/>
  <c r="I10" i="1"/>
  <c r="D10" i="1"/>
  <c r="B10" i="1"/>
  <c r="C10" i="1"/>
  <c r="F10" i="1"/>
  <c r="J10" i="1"/>
  <c r="K10" i="1"/>
  <c r="L10" i="1"/>
  <c r="E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J12" i="7"/>
  <c r="H28" i="1"/>
  <c r="H137" i="1"/>
  <c r="H94" i="1"/>
  <c r="H47" i="1"/>
  <c r="H31" i="1"/>
  <c r="K10" i="7"/>
  <c r="H66" i="1"/>
  <c r="H84" i="1"/>
  <c r="H37" i="1"/>
  <c r="H101" i="1"/>
  <c r="H21" i="1"/>
  <c r="H81" i="1"/>
  <c r="H63" i="1"/>
  <c r="H127" i="1"/>
  <c r="H40" i="1"/>
  <c r="H106" i="1"/>
  <c r="H50" i="1"/>
  <c r="H162" i="1"/>
  <c r="H146" i="1"/>
  <c r="H61" i="1"/>
  <c r="H14" i="1"/>
  <c r="H82" i="1"/>
  <c r="H41" i="1"/>
  <c r="F5" i="7"/>
  <c r="H125" i="1"/>
  <c r="H96" i="1"/>
  <c r="H38" i="1"/>
  <c r="H25" i="1"/>
  <c r="H134" i="1"/>
  <c r="H56" i="1"/>
  <c r="H32" i="1"/>
  <c r="H105" i="1"/>
  <c r="H153" i="1"/>
  <c r="H19" i="1"/>
  <c r="H142" i="1"/>
  <c r="H12" i="1"/>
  <c r="H157" i="1"/>
  <c r="H51" i="1"/>
  <c r="H111" i="1"/>
  <c r="H98" i="1"/>
  <c r="H77" i="1"/>
  <c r="M10" i="7"/>
  <c r="H59" i="1"/>
  <c r="H53" i="1"/>
  <c r="H35" i="1"/>
  <c r="H87" i="1"/>
  <c r="H112" i="1"/>
  <c r="H70" i="1"/>
  <c r="H23" i="1"/>
  <c r="H52" i="1"/>
  <c r="H154" i="1"/>
  <c r="H149" i="1"/>
  <c r="H163" i="1"/>
  <c r="H124" i="1"/>
  <c r="H45" i="1"/>
  <c r="H115" i="1"/>
  <c r="H144" i="1"/>
  <c r="H145" i="1"/>
  <c r="H93" i="1"/>
  <c r="H107" i="1"/>
  <c r="H48" i="1"/>
  <c r="H15" i="1"/>
  <c r="H60" i="1"/>
  <c r="H33" i="1"/>
  <c r="H120" i="1"/>
  <c r="H83" i="1"/>
  <c r="H151" i="1"/>
  <c r="H42" i="1"/>
  <c r="H49" i="1"/>
  <c r="H71" i="1"/>
  <c r="H102" i="1"/>
  <c r="H74" i="1"/>
  <c r="H161" i="1"/>
  <c r="H72" i="1"/>
  <c r="H150" i="1"/>
  <c r="H75" i="1"/>
  <c r="H24" i="1"/>
  <c r="H78" i="1"/>
  <c r="H110" i="1"/>
  <c r="H54" i="1"/>
  <c r="H159" i="1"/>
  <c r="H100" i="1"/>
  <c r="H128" i="1"/>
  <c r="H108" i="1"/>
  <c r="N11" i="7"/>
  <c r="H57" i="1"/>
  <c r="H109" i="1"/>
  <c r="H43" i="1"/>
  <c r="H103" i="1"/>
  <c r="H132" i="1"/>
  <c r="H88" i="1"/>
  <c r="H152" i="1"/>
  <c r="H18" i="1"/>
  <c r="H118" i="1"/>
  <c r="H139" i="1"/>
  <c r="H17" i="1"/>
  <c r="H133" i="1"/>
  <c r="H69" i="1"/>
  <c r="H89" i="1"/>
  <c r="H44" i="1"/>
  <c r="H79" i="1"/>
  <c r="H117" i="1"/>
  <c r="H121" i="1"/>
  <c r="H126" i="1"/>
  <c r="H22" i="1"/>
  <c r="H138" i="1"/>
  <c r="H26" i="1"/>
  <c r="H73" i="1"/>
  <c r="K11" i="7"/>
  <c r="H68" i="1"/>
  <c r="L11" i="7"/>
  <c r="H135" i="1"/>
  <c r="H156" i="1"/>
  <c r="H30" i="1"/>
  <c r="H113" i="1"/>
  <c r="H85" i="1"/>
  <c r="H34" i="1"/>
  <c r="H67" i="1"/>
  <c r="H119" i="1"/>
  <c r="H16" i="1"/>
  <c r="H104" i="1"/>
  <c r="H13" i="1"/>
  <c r="H155" i="1"/>
  <c r="H20" i="1"/>
  <c r="H160" i="1"/>
  <c r="H122" i="1"/>
  <c r="H129" i="1"/>
  <c r="H76" i="1"/>
  <c r="L12" i="7"/>
  <c r="H116" i="1"/>
  <c r="H158" i="1"/>
  <c r="H86" i="1"/>
  <c r="H27" i="1"/>
  <c r="H140" i="1"/>
  <c r="H58" i="1"/>
  <c r="H55" i="1"/>
  <c r="H99" i="1"/>
  <c r="H164" i="1"/>
  <c r="H90" i="1"/>
  <c r="H91" i="1"/>
  <c r="H130" i="1"/>
  <c r="H46" i="1"/>
  <c r="H97" i="1"/>
  <c r="M11" i="7"/>
  <c r="H29" i="1"/>
  <c r="H131" i="1"/>
  <c r="H36" i="1"/>
  <c r="H136" i="1"/>
  <c r="H148" i="1"/>
  <c r="H143" i="1"/>
  <c r="H141" i="1"/>
  <c r="H65" i="1"/>
  <c r="H64" i="1"/>
  <c r="H95" i="1"/>
  <c r="H92" i="1"/>
  <c r="H62" i="1"/>
  <c r="H39" i="1"/>
  <c r="H147" i="1"/>
  <c r="H80" i="1"/>
  <c r="F6" i="7"/>
  <c r="H114" i="1"/>
  <c r="N10" i="7"/>
  <c r="L10" i="7"/>
  <c r="H123" i="1"/>
  <c r="P11" i="7" l="1"/>
  <c r="O11" i="7"/>
  <c r="Q11" i="7"/>
  <c r="J13" i="7"/>
  <c r="H3" i="5"/>
  <c r="N12" i="7"/>
  <c r="K12" i="7"/>
  <c r="F4" i="7"/>
  <c r="M12" i="7"/>
  <c r="L13" i="7"/>
  <c r="O12" i="7" l="1"/>
  <c r="P12" i="7"/>
  <c r="Q12" i="7"/>
  <c r="C2" i="7"/>
  <c r="J14" i="7"/>
  <c r="C2" i="5"/>
  <c r="B2" i="5"/>
  <c r="D2" i="5"/>
  <c r="A12" i="1"/>
  <c r="C6" i="1"/>
  <c r="N12" i="1"/>
  <c r="E12" i="1"/>
  <c r="X12" i="1"/>
  <c r="L14" i="7"/>
  <c r="N13" i="7"/>
  <c r="N15" i="9"/>
  <c r="R12" i="1"/>
  <c r="W12" i="1"/>
  <c r="S12" i="1"/>
  <c r="K13" i="7"/>
  <c r="J12" i="1"/>
  <c r="K12" i="1"/>
  <c r="V12" i="1"/>
  <c r="M13" i="7"/>
  <c r="Y12" i="1"/>
  <c r="O12" i="1"/>
  <c r="I12" i="1"/>
  <c r="L12" i="1"/>
  <c r="P12" i="1"/>
  <c r="M12" i="1"/>
  <c r="AB12" i="1"/>
  <c r="B12" i="1"/>
  <c r="U12" i="1"/>
  <c r="D12" i="1"/>
  <c r="Q12" i="1"/>
  <c r="C12" i="1"/>
  <c r="T12" i="1"/>
  <c r="G12" i="1"/>
  <c r="AC12" i="1"/>
  <c r="F12" i="1"/>
  <c r="AA12" i="1"/>
  <c r="Z12" i="1"/>
  <c r="O15" i="9" l="1"/>
  <c r="E3" i="5"/>
  <c r="D3" i="5"/>
  <c r="C3" i="5"/>
  <c r="B3" i="5"/>
  <c r="A13" i="1"/>
  <c r="O13" i="7"/>
  <c r="P13" i="7"/>
  <c r="Q13" i="7"/>
  <c r="J15" i="7"/>
  <c r="H2" i="5"/>
  <c r="M13" i="1"/>
  <c r="C13" i="1"/>
  <c r="I13" i="1"/>
  <c r="N13" i="1"/>
  <c r="AB13" i="1"/>
  <c r="L13" i="1"/>
  <c r="K14" i="7"/>
  <c r="L15" i="7"/>
  <c r="V13" i="1"/>
  <c r="N14" i="7"/>
  <c r="M14" i="7"/>
  <c r="S13" i="1"/>
  <c r="J13" i="1"/>
  <c r="F13" i="1"/>
  <c r="N16" i="9"/>
  <c r="D13" i="1"/>
  <c r="P13" i="1"/>
  <c r="X13" i="1"/>
  <c r="T13" i="1"/>
  <c r="B13" i="1"/>
  <c r="R13" i="1"/>
  <c r="O13" i="1"/>
  <c r="W13" i="1"/>
  <c r="U13" i="1"/>
  <c r="E13" i="1"/>
  <c r="AA13" i="1"/>
  <c r="K13" i="1"/>
  <c r="Q13" i="1"/>
  <c r="AC13" i="1"/>
  <c r="Y13" i="1"/>
  <c r="Z13" i="1"/>
  <c r="G13" i="1"/>
  <c r="O16" i="9" l="1"/>
  <c r="A14" i="1"/>
  <c r="D4" i="5"/>
  <c r="E4" i="5"/>
  <c r="F3" i="5" s="1"/>
  <c r="G3" i="5" s="1"/>
  <c r="H4" i="5" s="1"/>
  <c r="B4" i="5"/>
  <c r="C4" i="5"/>
  <c r="A15" i="1"/>
  <c r="O14" i="7"/>
  <c r="P14" i="7"/>
  <c r="Q14" i="7"/>
  <c r="J16" i="7"/>
  <c r="AB14" i="1"/>
  <c r="D15" i="1"/>
  <c r="Z14" i="1"/>
  <c r="S15" i="1"/>
  <c r="X15" i="1"/>
  <c r="W15" i="1"/>
  <c r="L14" i="1"/>
  <c r="M15" i="7"/>
  <c r="T15" i="1"/>
  <c r="S14" i="1"/>
  <c r="I14" i="1"/>
  <c r="O14" i="1"/>
  <c r="M14" i="1"/>
  <c r="B15" i="1"/>
  <c r="AC14" i="1"/>
  <c r="L16" i="7"/>
  <c r="M16" i="7"/>
  <c r="Y14" i="1"/>
  <c r="W14" i="1"/>
  <c r="U15" i="1"/>
  <c r="Y15" i="1"/>
  <c r="V14" i="1"/>
  <c r="K15" i="7"/>
  <c r="F14" i="1"/>
  <c r="N15" i="7"/>
  <c r="X14" i="1"/>
  <c r="N14" i="1"/>
  <c r="AA14" i="1"/>
  <c r="J14" i="1"/>
  <c r="F15" i="1"/>
  <c r="T14" i="1"/>
  <c r="N17" i="9"/>
  <c r="J15" i="1"/>
  <c r="U14" i="1"/>
  <c r="G14" i="1"/>
  <c r="I15" i="1"/>
  <c r="P15" i="1"/>
  <c r="Z15" i="1"/>
  <c r="AA15" i="1"/>
  <c r="AB15" i="1"/>
  <c r="K15" i="1"/>
  <c r="N15" i="1"/>
  <c r="Q14" i="1"/>
  <c r="V15" i="1"/>
  <c r="O15" i="1"/>
  <c r="N18" i="9"/>
  <c r="L15" i="1"/>
  <c r="M15" i="1"/>
  <c r="C15" i="1"/>
  <c r="K14" i="1"/>
  <c r="E15" i="1"/>
  <c r="Q15" i="1"/>
  <c r="D14" i="1"/>
  <c r="AC15" i="1"/>
  <c r="G15" i="1"/>
  <c r="R14" i="1"/>
  <c r="B14" i="1"/>
  <c r="R15" i="1"/>
  <c r="P14" i="1"/>
  <c r="C14" i="1"/>
  <c r="E14" i="1"/>
  <c r="O17" i="9" l="1"/>
  <c r="D5" i="5"/>
  <c r="E5" i="5"/>
  <c r="C5" i="5"/>
  <c r="B5" i="5"/>
  <c r="O18" i="9"/>
  <c r="P16" i="9"/>
  <c r="Q26" i="9"/>
  <c r="A16" i="1"/>
  <c r="H5" i="5"/>
  <c r="D6" i="5"/>
  <c r="B6" i="5"/>
  <c r="C6" i="5"/>
  <c r="E6" i="5"/>
  <c r="F5" i="5" s="1"/>
  <c r="O15" i="7"/>
  <c r="P15" i="7"/>
  <c r="O16" i="7"/>
  <c r="Q15" i="7"/>
  <c r="J17" i="7"/>
  <c r="X16" i="1"/>
  <c r="M16" i="1"/>
  <c r="C16" i="1"/>
  <c r="K16" i="1"/>
  <c r="T16" i="1"/>
  <c r="K16" i="7"/>
  <c r="G16" i="1"/>
  <c r="R16" i="1"/>
  <c r="E16" i="1"/>
  <c r="Z16" i="1"/>
  <c r="W16" i="1"/>
  <c r="P16" i="1"/>
  <c r="L16" i="1"/>
  <c r="Y16" i="1"/>
  <c r="N16" i="1"/>
  <c r="V16" i="1"/>
  <c r="L17" i="7"/>
  <c r="O16" i="1"/>
  <c r="S16" i="1"/>
  <c r="N19" i="9"/>
  <c r="AB16" i="1"/>
  <c r="N16" i="7"/>
  <c r="D16" i="1"/>
  <c r="F16" i="1"/>
  <c r="U16" i="1"/>
  <c r="AA16" i="1"/>
  <c r="AC16" i="1"/>
  <c r="J16" i="1"/>
  <c r="I16" i="1"/>
  <c r="Q16" i="1"/>
  <c r="B16" i="1"/>
  <c r="G5" i="5" l="1"/>
  <c r="H6" i="5" s="1"/>
  <c r="O19" i="9"/>
  <c r="P18" i="9"/>
  <c r="Q28" i="9"/>
  <c r="A17" i="1"/>
  <c r="Q27" i="9"/>
  <c r="P17" i="9"/>
  <c r="D7" i="5"/>
  <c r="E7" i="5"/>
  <c r="C7" i="5"/>
  <c r="B7" i="5"/>
  <c r="H7" i="5"/>
  <c r="P16" i="7"/>
  <c r="Q16" i="7"/>
  <c r="J18" i="7"/>
  <c r="A18" i="1"/>
  <c r="T17" i="1"/>
  <c r="S18" i="1"/>
  <c r="AB18" i="1"/>
  <c r="O17" i="1"/>
  <c r="AA18" i="1"/>
  <c r="AA17" i="1"/>
  <c r="L18" i="1"/>
  <c r="G17" i="1"/>
  <c r="R18" i="1"/>
  <c r="U18" i="1"/>
  <c r="E18" i="1"/>
  <c r="AC18" i="1"/>
  <c r="X17" i="1"/>
  <c r="W17" i="1"/>
  <c r="K17" i="1"/>
  <c r="B18" i="1"/>
  <c r="C17" i="1"/>
  <c r="C18" i="1"/>
  <c r="N18" i="1"/>
  <c r="L18" i="7"/>
  <c r="K17" i="7"/>
  <c r="Y17" i="1"/>
  <c r="U17" i="1"/>
  <c r="Y18" i="1"/>
  <c r="D17" i="1"/>
  <c r="M18" i="1"/>
  <c r="Z17" i="1"/>
  <c r="N17" i="7"/>
  <c r="J17" i="1"/>
  <c r="N21" i="9"/>
  <c r="W18" i="1"/>
  <c r="D18" i="1"/>
  <c r="E17" i="1"/>
  <c r="B17" i="1"/>
  <c r="Z18" i="1"/>
  <c r="AC17" i="1"/>
  <c r="S17" i="1"/>
  <c r="M17" i="7"/>
  <c r="Q18" i="1"/>
  <c r="L17" i="1"/>
  <c r="V18" i="1"/>
  <c r="P17" i="1"/>
  <c r="R17" i="1"/>
  <c r="N20" i="9"/>
  <c r="G18" i="1"/>
  <c r="M17" i="1"/>
  <c r="J18" i="1"/>
  <c r="I17" i="1"/>
  <c r="F17" i="1"/>
  <c r="P18" i="1"/>
  <c r="F18" i="1"/>
  <c r="X18" i="1"/>
  <c r="O18" i="1"/>
  <c r="V17" i="1"/>
  <c r="AB17" i="1"/>
  <c r="T18" i="1"/>
  <c r="I18" i="1"/>
  <c r="N17" i="1"/>
  <c r="Q17" i="1"/>
  <c r="K18" i="1"/>
  <c r="O20" i="9" l="1"/>
  <c r="C8" i="5"/>
  <c r="B8" i="5"/>
  <c r="D8" i="5"/>
  <c r="E8" i="5"/>
  <c r="F7" i="5" s="1"/>
  <c r="G7" i="5" s="1"/>
  <c r="H8" i="5" s="1"/>
  <c r="O21" i="9"/>
  <c r="P19" i="9"/>
  <c r="Q29" i="9"/>
  <c r="O17" i="7"/>
  <c r="P17" i="7"/>
  <c r="Q17" i="7"/>
  <c r="J19" i="7"/>
  <c r="E9" i="5"/>
  <c r="C9" i="5"/>
  <c r="B9" i="5"/>
  <c r="D9" i="5"/>
  <c r="A19" i="1"/>
  <c r="C19" i="1"/>
  <c r="L19" i="1"/>
  <c r="R19" i="1"/>
  <c r="U19" i="1"/>
  <c r="M19" i="1"/>
  <c r="G19" i="1"/>
  <c r="AA19" i="1"/>
  <c r="S19" i="1"/>
  <c r="Q19" i="1"/>
  <c r="AB19" i="1"/>
  <c r="Y19" i="1"/>
  <c r="V19" i="1"/>
  <c r="P19" i="1"/>
  <c r="D19" i="1"/>
  <c r="N19" i="1"/>
  <c r="X19" i="1"/>
  <c r="K18" i="7"/>
  <c r="M18" i="7"/>
  <c r="N18" i="7"/>
  <c r="J19" i="1"/>
  <c r="B19" i="1"/>
  <c r="E19" i="1"/>
  <c r="K19" i="1"/>
  <c r="Z19" i="1"/>
  <c r="F19" i="1"/>
  <c r="T19" i="1"/>
  <c r="I19" i="1"/>
  <c r="O19" i="1"/>
  <c r="L19" i="7"/>
  <c r="W19" i="1"/>
  <c r="AC19" i="1"/>
  <c r="H9" i="5" l="1"/>
  <c r="Q31" i="9"/>
  <c r="P21" i="9"/>
  <c r="Q30" i="9"/>
  <c r="P20" i="9"/>
  <c r="P18" i="7"/>
  <c r="O18" i="7"/>
  <c r="Q18" i="7"/>
  <c r="J20" i="7"/>
  <c r="E10" i="5"/>
  <c r="F9" i="5" s="1"/>
  <c r="G9" i="5" s="1"/>
  <c r="C10" i="5"/>
  <c r="B10" i="5"/>
  <c r="D10" i="5"/>
  <c r="A20" i="1"/>
  <c r="AC20" i="1"/>
  <c r="AB20" i="1"/>
  <c r="S20" i="1"/>
  <c r="N20" i="1"/>
  <c r="E20" i="1"/>
  <c r="V20" i="1"/>
  <c r="F20" i="1"/>
  <c r="J20" i="1"/>
  <c r="N19" i="7"/>
  <c r="C20" i="1"/>
  <c r="M20" i="1"/>
  <c r="Y20" i="1"/>
  <c r="AA20" i="1"/>
  <c r="P20" i="1"/>
  <c r="L20" i="7"/>
  <c r="K19" i="7"/>
  <c r="G20" i="1"/>
  <c r="D20" i="1"/>
  <c r="M19" i="7"/>
  <c r="I20" i="1"/>
  <c r="U20" i="1"/>
  <c r="R20" i="1"/>
  <c r="O20" i="1"/>
  <c r="Z20" i="1"/>
  <c r="B20" i="1"/>
  <c r="X20" i="1"/>
  <c r="Q20" i="1"/>
  <c r="K20" i="1"/>
  <c r="T20" i="1"/>
  <c r="L20" i="1"/>
  <c r="W20" i="1"/>
  <c r="O19" i="7" l="1"/>
  <c r="P19" i="7"/>
  <c r="Q19" i="7"/>
  <c r="J21" i="7"/>
  <c r="H11" i="5"/>
  <c r="E11" i="5"/>
  <c r="H10" i="5"/>
  <c r="C11" i="5"/>
  <c r="B11" i="5"/>
  <c r="D11" i="5"/>
  <c r="A21" i="1"/>
  <c r="R21" i="1"/>
  <c r="L21" i="1"/>
  <c r="T21" i="1"/>
  <c r="K20" i="7"/>
  <c r="S21" i="1"/>
  <c r="V21" i="1"/>
  <c r="AA21" i="1"/>
  <c r="N20" i="7"/>
  <c r="F21" i="1"/>
  <c r="Z21" i="1"/>
  <c r="D21" i="1"/>
  <c r="C21" i="1"/>
  <c r="Y21" i="1"/>
  <c r="W21" i="1"/>
  <c r="M20" i="7"/>
  <c r="J21" i="1"/>
  <c r="G21" i="1"/>
  <c r="Q21" i="1"/>
  <c r="B21" i="1"/>
  <c r="L21" i="7"/>
  <c r="M21" i="1"/>
  <c r="P21" i="1"/>
  <c r="I21" i="1"/>
  <c r="N21" i="1"/>
  <c r="K21" i="1"/>
  <c r="E21" i="1"/>
  <c r="X21" i="1"/>
  <c r="U21" i="1"/>
  <c r="O21" i="1"/>
  <c r="AC21" i="1"/>
  <c r="AB21" i="1"/>
  <c r="P20" i="7" l="1"/>
  <c r="O20" i="7"/>
  <c r="Q20" i="7"/>
  <c r="J22" i="7"/>
  <c r="E12" i="5"/>
  <c r="F11" i="5" s="1"/>
  <c r="G11" i="5" s="1"/>
  <c r="C12" i="5"/>
  <c r="B12" i="5"/>
  <c r="D12" i="5"/>
  <c r="A22" i="1"/>
  <c r="Q22" i="1"/>
  <c r="P22" i="1"/>
  <c r="M21" i="7"/>
  <c r="V22" i="1"/>
  <c r="Y22" i="1"/>
  <c r="F22" i="1"/>
  <c r="D22" i="1"/>
  <c r="N21" i="7"/>
  <c r="K22" i="1"/>
  <c r="Z22" i="1"/>
  <c r="AB22" i="1"/>
  <c r="K21" i="7"/>
  <c r="AC22" i="1"/>
  <c r="L22" i="7"/>
  <c r="C22" i="1"/>
  <c r="R22" i="1"/>
  <c r="S22" i="1"/>
  <c r="G22" i="1"/>
  <c r="E22" i="1"/>
  <c r="U22" i="1"/>
  <c r="O22" i="1"/>
  <c r="L22" i="1"/>
  <c r="T22" i="1"/>
  <c r="I22" i="1"/>
  <c r="W22" i="1"/>
  <c r="B22" i="1"/>
  <c r="X22" i="1"/>
  <c r="M22" i="1"/>
  <c r="N22" i="1"/>
  <c r="AA22" i="1"/>
  <c r="J22" i="1"/>
  <c r="P21" i="7" l="1"/>
  <c r="O21" i="7"/>
  <c r="Q21" i="7"/>
  <c r="J23" i="7"/>
  <c r="H13" i="5"/>
  <c r="E13" i="5"/>
  <c r="H12" i="5"/>
  <c r="C13" i="5"/>
  <c r="B13" i="5"/>
  <c r="D13" i="5"/>
  <c r="A23" i="1"/>
  <c r="B23" i="1"/>
  <c r="L23" i="1"/>
  <c r="O23" i="1"/>
  <c r="S23" i="1"/>
  <c r="Y23" i="1"/>
  <c r="E23" i="1"/>
  <c r="M23" i="1"/>
  <c r="X23" i="1"/>
  <c r="L23" i="7"/>
  <c r="K22" i="7"/>
  <c r="Z23" i="1"/>
  <c r="R23" i="1"/>
  <c r="T23" i="1"/>
  <c r="P23" i="1"/>
  <c r="J23" i="1"/>
  <c r="M22" i="7"/>
  <c r="C23" i="1"/>
  <c r="K23" i="1"/>
  <c r="W23" i="1"/>
  <c r="I23" i="1"/>
  <c r="AC23" i="1"/>
  <c r="AB23" i="1"/>
  <c r="N22" i="7"/>
  <c r="N23" i="1"/>
  <c r="F23" i="1"/>
  <c r="U23" i="1"/>
  <c r="D23" i="1"/>
  <c r="Q23" i="1"/>
  <c r="G23" i="1"/>
  <c r="AA23" i="1"/>
  <c r="V23" i="1"/>
  <c r="O22" i="7" l="1"/>
  <c r="P22" i="7"/>
  <c r="Q22" i="7"/>
  <c r="J24" i="7"/>
  <c r="E14" i="5"/>
  <c r="F13" i="5" s="1"/>
  <c r="G13" i="5" s="1"/>
  <c r="C14" i="5"/>
  <c r="B14" i="5"/>
  <c r="D14" i="5"/>
  <c r="A24" i="1"/>
  <c r="Z24" i="1"/>
  <c r="M23" i="7"/>
  <c r="AC24" i="1"/>
  <c r="AA24" i="1"/>
  <c r="E24" i="1"/>
  <c r="U24" i="1"/>
  <c r="G24" i="1"/>
  <c r="R24" i="1"/>
  <c r="W24" i="1"/>
  <c r="M24" i="1"/>
  <c r="N23" i="7"/>
  <c r="AB24" i="1"/>
  <c r="O24" i="1"/>
  <c r="B24" i="1"/>
  <c r="Q24" i="1"/>
  <c r="S24" i="1"/>
  <c r="L24" i="7"/>
  <c r="K23" i="7"/>
  <c r="L24" i="1"/>
  <c r="K24" i="1"/>
  <c r="I24" i="1"/>
  <c r="T24" i="1"/>
  <c r="V24" i="1"/>
  <c r="N24" i="1"/>
  <c r="J24" i="1"/>
  <c r="X24" i="1"/>
  <c r="C24" i="1"/>
  <c r="D24" i="1"/>
  <c r="F24" i="1"/>
  <c r="Y24" i="1"/>
  <c r="P24" i="1"/>
  <c r="P23" i="7" l="1"/>
  <c r="O23" i="7"/>
  <c r="Q23" i="7"/>
  <c r="J25" i="7"/>
  <c r="H15" i="5"/>
  <c r="E15" i="5"/>
  <c r="H14" i="5"/>
  <c r="C15" i="5"/>
  <c r="B15" i="5"/>
  <c r="D15" i="5"/>
  <c r="A25" i="1"/>
  <c r="O25" i="1"/>
  <c r="Y25" i="1"/>
  <c r="M24" i="7"/>
  <c r="L25" i="1"/>
  <c r="Q25" i="1"/>
  <c r="AB25" i="1"/>
  <c r="M25" i="1"/>
  <c r="K25" i="1"/>
  <c r="D25" i="1"/>
  <c r="N24" i="7"/>
  <c r="B25" i="1"/>
  <c r="S25" i="1"/>
  <c r="F25" i="1"/>
  <c r="AA25" i="1"/>
  <c r="L25" i="7"/>
  <c r="K24" i="7"/>
  <c r="J25" i="1"/>
  <c r="P25" i="1"/>
  <c r="E25" i="1"/>
  <c r="AC25" i="1"/>
  <c r="U25" i="1"/>
  <c r="I25" i="1"/>
  <c r="G25" i="1"/>
  <c r="X25" i="1"/>
  <c r="Z25" i="1"/>
  <c r="C25" i="1"/>
  <c r="N25" i="1"/>
  <c r="V25" i="1"/>
  <c r="T25" i="1"/>
  <c r="W25" i="1"/>
  <c r="R25" i="1"/>
  <c r="O24" i="7" l="1"/>
  <c r="P24" i="7"/>
  <c r="Q24" i="7"/>
  <c r="J26" i="7"/>
  <c r="E16" i="5"/>
  <c r="F15" i="5" s="1"/>
  <c r="G15" i="5" s="1"/>
  <c r="C16" i="5"/>
  <c r="B16" i="5"/>
  <c r="D16" i="5"/>
  <c r="A26" i="1"/>
  <c r="AC26" i="1"/>
  <c r="N25" i="7"/>
  <c r="Q26" i="1"/>
  <c r="M26" i="1"/>
  <c r="J26" i="1"/>
  <c r="T26" i="1"/>
  <c r="E26" i="1"/>
  <c r="K26" i="1"/>
  <c r="P26" i="1"/>
  <c r="M25" i="7"/>
  <c r="V26" i="1"/>
  <c r="Z26" i="1"/>
  <c r="W26" i="1"/>
  <c r="F26" i="1"/>
  <c r="L26" i="7"/>
  <c r="K25" i="7"/>
  <c r="O26" i="1"/>
  <c r="B26" i="1"/>
  <c r="R26" i="1"/>
  <c r="N26" i="1"/>
  <c r="L26" i="1"/>
  <c r="D26" i="1"/>
  <c r="X26" i="1"/>
  <c r="C26" i="1"/>
  <c r="U26" i="1"/>
  <c r="Y26" i="1"/>
  <c r="G26" i="1"/>
  <c r="S26" i="1"/>
  <c r="I26" i="1"/>
  <c r="AB26" i="1"/>
  <c r="AA26" i="1"/>
  <c r="P25" i="7" l="1"/>
  <c r="O25" i="7"/>
  <c r="Q25" i="7"/>
  <c r="J27" i="7"/>
  <c r="H17" i="5"/>
  <c r="E17" i="5"/>
  <c r="H16" i="5"/>
  <c r="C17" i="5"/>
  <c r="B17" i="5"/>
  <c r="D17" i="5"/>
  <c r="A27" i="1"/>
  <c r="P27" i="1"/>
  <c r="L27" i="7"/>
  <c r="B27" i="1"/>
  <c r="Y27" i="1"/>
  <c r="K26" i="7"/>
  <c r="AB27" i="1"/>
  <c r="I27" i="1"/>
  <c r="C27" i="1"/>
  <c r="T27" i="1"/>
  <c r="F27" i="1"/>
  <c r="M27" i="1"/>
  <c r="R27" i="1"/>
  <c r="E27" i="1"/>
  <c r="O27" i="1"/>
  <c r="V27" i="1"/>
  <c r="AA27" i="1"/>
  <c r="U27" i="1"/>
  <c r="Q27" i="1"/>
  <c r="M26" i="7"/>
  <c r="K27" i="1"/>
  <c r="N27" i="1"/>
  <c r="AC27" i="1"/>
  <c r="G27" i="1"/>
  <c r="N26" i="7"/>
  <c r="S27" i="1"/>
  <c r="L27" i="1"/>
  <c r="Z27" i="1"/>
  <c r="J27" i="1"/>
  <c r="W27" i="1"/>
  <c r="X27" i="1"/>
  <c r="D27" i="1"/>
  <c r="P26" i="7" l="1"/>
  <c r="O26" i="7"/>
  <c r="Q26" i="7"/>
  <c r="J28" i="7"/>
  <c r="E18" i="5"/>
  <c r="F17" i="5" s="1"/>
  <c r="G17" i="5" s="1"/>
  <c r="C18" i="5"/>
  <c r="B18" i="5"/>
  <c r="D18" i="5"/>
  <c r="A28" i="1"/>
  <c r="V28" i="1"/>
  <c r="N27" i="7"/>
  <c r="B28" i="1"/>
  <c r="F28" i="1"/>
  <c r="W28" i="1"/>
  <c r="Z28" i="1"/>
  <c r="AB28" i="1"/>
  <c r="E28" i="1"/>
  <c r="T28" i="1"/>
  <c r="I28" i="1"/>
  <c r="L28" i="7"/>
  <c r="C28" i="1"/>
  <c r="O28" i="1"/>
  <c r="P28" i="1"/>
  <c r="L28" i="1"/>
  <c r="N28" i="1"/>
  <c r="K27" i="7"/>
  <c r="U28" i="1"/>
  <c r="Y28" i="1"/>
  <c r="J28" i="1"/>
  <c r="G28" i="1"/>
  <c r="R28" i="1"/>
  <c r="M28" i="1"/>
  <c r="M27" i="7"/>
  <c r="AC28" i="1"/>
  <c r="Q28" i="1"/>
  <c r="AA28" i="1"/>
  <c r="S28" i="1"/>
  <c r="X28" i="1"/>
  <c r="K28" i="1"/>
  <c r="D28" i="1"/>
  <c r="P27" i="7" l="1"/>
  <c r="O27" i="7"/>
  <c r="Q27" i="7"/>
  <c r="J29" i="7"/>
  <c r="H19" i="5"/>
  <c r="E19" i="5"/>
  <c r="H18" i="5"/>
  <c r="C19" i="5"/>
  <c r="B19" i="5"/>
  <c r="D19" i="5"/>
  <c r="A29" i="1"/>
  <c r="Z29" i="1"/>
  <c r="K29" i="1"/>
  <c r="M29" i="1"/>
  <c r="W29" i="1"/>
  <c r="R29" i="1"/>
  <c r="I29" i="1"/>
  <c r="X29" i="1"/>
  <c r="L29" i="7"/>
  <c r="C29" i="1"/>
  <c r="AA29" i="1"/>
  <c r="AB29" i="1"/>
  <c r="Y29" i="1"/>
  <c r="F29" i="1"/>
  <c r="M28" i="7"/>
  <c r="J29" i="1"/>
  <c r="S29" i="1"/>
  <c r="O29" i="1"/>
  <c r="D29" i="1"/>
  <c r="K28" i="7"/>
  <c r="Q29" i="1"/>
  <c r="T29" i="1"/>
  <c r="G29" i="1"/>
  <c r="N28" i="7"/>
  <c r="U29" i="1"/>
  <c r="E29" i="1"/>
  <c r="B29" i="1"/>
  <c r="P29" i="1"/>
  <c r="N29" i="1"/>
  <c r="L29" i="1"/>
  <c r="V29" i="1"/>
  <c r="AC29" i="1"/>
  <c r="O28" i="7" l="1"/>
  <c r="P28" i="7"/>
  <c r="Q28" i="7"/>
  <c r="J30" i="7"/>
  <c r="E20" i="5"/>
  <c r="F19" i="5" s="1"/>
  <c r="G19" i="5" s="1"/>
  <c r="C20" i="5"/>
  <c r="B20" i="5"/>
  <c r="D20" i="5"/>
  <c r="A30" i="1"/>
  <c r="D30" i="1"/>
  <c r="N29" i="7"/>
  <c r="E30" i="1"/>
  <c r="K30" i="1"/>
  <c r="T30" i="1"/>
  <c r="R30" i="1"/>
  <c r="Y30" i="1"/>
  <c r="Z30" i="1"/>
  <c r="M30" i="1"/>
  <c r="F30" i="1"/>
  <c r="W30" i="1"/>
  <c r="C30" i="1"/>
  <c r="S30" i="1"/>
  <c r="P30" i="1"/>
  <c r="V30" i="1"/>
  <c r="M29" i="7"/>
  <c r="K29" i="7"/>
  <c r="L30" i="7"/>
  <c r="I30" i="1"/>
  <c r="N30" i="1"/>
  <c r="L30" i="1"/>
  <c r="O30" i="1"/>
  <c r="AA30" i="1"/>
  <c r="G30" i="1"/>
  <c r="AC30" i="1"/>
  <c r="J30" i="1"/>
  <c r="U30" i="1"/>
  <c r="X30" i="1"/>
  <c r="AB30" i="1"/>
  <c r="Q30" i="1"/>
  <c r="B30" i="1"/>
  <c r="P29" i="7" l="1"/>
  <c r="O29" i="7"/>
  <c r="Q29" i="7"/>
  <c r="J31" i="7"/>
  <c r="H21" i="5"/>
  <c r="E21" i="5"/>
  <c r="H20" i="5"/>
  <c r="C21" i="5"/>
  <c r="B21" i="5"/>
  <c r="D21" i="5"/>
  <c r="A31" i="1"/>
  <c r="V31" i="1"/>
  <c r="M30" i="7"/>
  <c r="AB31" i="1"/>
  <c r="Q31" i="1"/>
  <c r="G31" i="1"/>
  <c r="Y31" i="1"/>
  <c r="J31" i="1"/>
  <c r="U31" i="1"/>
  <c r="S31" i="1"/>
  <c r="K31" i="1"/>
  <c r="K30" i="7"/>
  <c r="AC31" i="1"/>
  <c r="C31" i="1"/>
  <c r="X31" i="1"/>
  <c r="B31" i="1"/>
  <c r="L31" i="7"/>
  <c r="O31" i="1"/>
  <c r="F31" i="1"/>
  <c r="R31" i="1"/>
  <c r="N30" i="7"/>
  <c r="P31" i="1"/>
  <c r="I31" i="1"/>
  <c r="AA31" i="1"/>
  <c r="N31" i="1"/>
  <c r="L31" i="1"/>
  <c r="M31" i="1"/>
  <c r="E31" i="1"/>
  <c r="T31" i="1"/>
  <c r="Z31" i="1"/>
  <c r="W31" i="1"/>
  <c r="D31" i="1"/>
  <c r="O30" i="7" l="1"/>
  <c r="P30" i="7"/>
  <c r="Q30" i="7"/>
  <c r="J32" i="7"/>
  <c r="E22" i="5"/>
  <c r="F21" i="5" s="1"/>
  <c r="G21" i="5" s="1"/>
  <c r="C22" i="5"/>
  <c r="B22" i="5"/>
  <c r="D22" i="5"/>
  <c r="A32" i="1"/>
  <c r="Z32" i="1"/>
  <c r="N31" i="7"/>
  <c r="D32" i="1"/>
  <c r="F32" i="1"/>
  <c r="O32" i="1"/>
  <c r="M32" i="1"/>
  <c r="S32" i="1"/>
  <c r="J32" i="1"/>
  <c r="Y32" i="1"/>
  <c r="R32" i="1"/>
  <c r="K31" i="7"/>
  <c r="B32" i="1"/>
  <c r="E32" i="1"/>
  <c r="N32" i="1"/>
  <c r="L32" i="1"/>
  <c r="AB32" i="1"/>
  <c r="M31" i="7"/>
  <c r="L32" i="7"/>
  <c r="U32" i="1"/>
  <c r="P32" i="1"/>
  <c r="V32" i="1"/>
  <c r="W32" i="1"/>
  <c r="I32" i="1"/>
  <c r="T32" i="1"/>
  <c r="X32" i="1"/>
  <c r="AA32" i="1"/>
  <c r="G32" i="1"/>
  <c r="AC32" i="1"/>
  <c r="Q32" i="1"/>
  <c r="C32" i="1"/>
  <c r="K32" i="1"/>
  <c r="O31" i="7" l="1"/>
  <c r="P31" i="7"/>
  <c r="Q31" i="7"/>
  <c r="J33" i="7"/>
  <c r="H23" i="5"/>
  <c r="E23" i="5"/>
  <c r="H22" i="5"/>
  <c r="C23" i="5"/>
  <c r="B23" i="5"/>
  <c r="D23" i="5"/>
  <c r="A33" i="1"/>
  <c r="C33" i="1"/>
  <c r="K32" i="7"/>
  <c r="X33" i="1"/>
  <c r="G33" i="1"/>
  <c r="J33" i="1"/>
  <c r="M32" i="7"/>
  <c r="AA33" i="1"/>
  <c r="F33" i="1"/>
  <c r="P33" i="1"/>
  <c r="E33" i="1"/>
  <c r="I33" i="1"/>
  <c r="S33" i="1"/>
  <c r="W33" i="1"/>
  <c r="L33" i="1"/>
  <c r="N32" i="7"/>
  <c r="D33" i="1"/>
  <c r="R33" i="1"/>
  <c r="T33" i="1"/>
  <c r="Q33" i="1"/>
  <c r="N33" i="1"/>
  <c r="Y33" i="1"/>
  <c r="O33" i="1"/>
  <c r="K33" i="1"/>
  <c r="AC33" i="1"/>
  <c r="AB33" i="1"/>
  <c r="M33" i="1"/>
  <c r="L33" i="7"/>
  <c r="Z33" i="1"/>
  <c r="U33" i="1"/>
  <c r="V33" i="1"/>
  <c r="B33" i="1"/>
  <c r="P32" i="7" l="1"/>
  <c r="O32" i="7"/>
  <c r="Q32" i="7"/>
  <c r="J34" i="7"/>
  <c r="E24" i="5"/>
  <c r="F23" i="5" s="1"/>
  <c r="G23" i="5" s="1"/>
  <c r="C24" i="5"/>
  <c r="B24" i="5"/>
  <c r="D24" i="5"/>
  <c r="A34" i="1"/>
  <c r="R34" i="1"/>
  <c r="M33" i="7"/>
  <c r="L34" i="7"/>
  <c r="W34" i="1"/>
  <c r="D34" i="1"/>
  <c r="B34" i="1"/>
  <c r="F34" i="1"/>
  <c r="N34" i="1"/>
  <c r="AA34" i="1"/>
  <c r="AC34" i="1"/>
  <c r="L34" i="1"/>
  <c r="P34" i="1"/>
  <c r="N33" i="7"/>
  <c r="V34" i="1"/>
  <c r="C34" i="1"/>
  <c r="Z34" i="1"/>
  <c r="O34" i="1"/>
  <c r="S34" i="1"/>
  <c r="K33" i="7"/>
  <c r="U34" i="1"/>
  <c r="G34" i="1"/>
  <c r="Q34" i="1"/>
  <c r="K34" i="1"/>
  <c r="I34" i="1"/>
  <c r="J34" i="1"/>
  <c r="Y34" i="1"/>
  <c r="X34" i="1"/>
  <c r="M34" i="1"/>
  <c r="AB34" i="1"/>
  <c r="E34" i="1"/>
  <c r="T34" i="1"/>
  <c r="P33" i="7" l="1"/>
  <c r="O33" i="7"/>
  <c r="Q33" i="7"/>
  <c r="J35" i="7"/>
  <c r="H25" i="5"/>
  <c r="E25" i="5"/>
  <c r="H24" i="5"/>
  <c r="C25" i="5"/>
  <c r="B25" i="5"/>
  <c r="D25" i="5"/>
  <c r="A35" i="1"/>
  <c r="O35" i="1"/>
  <c r="M35" i="1"/>
  <c r="K34" i="7"/>
  <c r="V35" i="1"/>
  <c r="C35" i="1"/>
  <c r="B35" i="1"/>
  <c r="J35" i="1"/>
  <c r="E35" i="1"/>
  <c r="S35" i="1"/>
  <c r="AA35" i="1"/>
  <c r="M34" i="7"/>
  <c r="AB35" i="1"/>
  <c r="G35" i="1"/>
  <c r="W35" i="1"/>
  <c r="Y35" i="1"/>
  <c r="I35" i="1"/>
  <c r="X35" i="1"/>
  <c r="Z35" i="1"/>
  <c r="L35" i="7"/>
  <c r="K35" i="1"/>
  <c r="N35" i="1"/>
  <c r="Q35" i="1"/>
  <c r="P35" i="1"/>
  <c r="AC35" i="1"/>
  <c r="R35" i="1"/>
  <c r="F35" i="1"/>
  <c r="N34" i="7"/>
  <c r="L35" i="1"/>
  <c r="D35" i="1"/>
  <c r="U35" i="1"/>
  <c r="T35" i="1"/>
  <c r="P34" i="7" l="1"/>
  <c r="O34" i="7"/>
  <c r="Q34" i="7"/>
  <c r="J36" i="7"/>
  <c r="E26" i="5"/>
  <c r="F25" i="5" s="1"/>
  <c r="G25" i="5" s="1"/>
  <c r="C26" i="5"/>
  <c r="B26" i="5"/>
  <c r="D26" i="5"/>
  <c r="A36" i="1"/>
  <c r="X36" i="1"/>
  <c r="AB36" i="1"/>
  <c r="L36" i="7"/>
  <c r="J36" i="1"/>
  <c r="Y36" i="1"/>
  <c r="E36" i="1"/>
  <c r="O36" i="1"/>
  <c r="C36" i="1"/>
  <c r="N35" i="7"/>
  <c r="K35" i="7"/>
  <c r="AC36" i="1"/>
  <c r="P36" i="1"/>
  <c r="V36" i="1"/>
  <c r="U36" i="1"/>
  <c r="M35" i="7"/>
  <c r="G36" i="1"/>
  <c r="W36" i="1"/>
  <c r="N36" i="1"/>
  <c r="L36" i="1"/>
  <c r="M36" i="1"/>
  <c r="I36" i="1"/>
  <c r="Q36" i="1"/>
  <c r="T36" i="1"/>
  <c r="Z36" i="1"/>
  <c r="AA36" i="1"/>
  <c r="K36" i="1"/>
  <c r="S36" i="1"/>
  <c r="F36" i="1"/>
  <c r="D36" i="1"/>
  <c r="B36" i="1"/>
  <c r="R36" i="1"/>
  <c r="P35" i="7" l="1"/>
  <c r="O35" i="7"/>
  <c r="Q35" i="7"/>
  <c r="J37" i="7"/>
  <c r="H27" i="5"/>
  <c r="H26" i="5"/>
  <c r="C27" i="5"/>
  <c r="B27" i="5"/>
  <c r="D27" i="5"/>
  <c r="A37" i="1"/>
  <c r="W37" i="1"/>
  <c r="N36" i="7"/>
  <c r="G37" i="1"/>
  <c r="U37" i="1"/>
  <c r="S37" i="1"/>
  <c r="E37" i="1"/>
  <c r="F37" i="1"/>
  <c r="D37" i="1"/>
  <c r="L37" i="7"/>
  <c r="K36" i="7"/>
  <c r="P37" i="1"/>
  <c r="Z37" i="1"/>
  <c r="I37" i="1"/>
  <c r="L37" i="1"/>
  <c r="K37" i="1"/>
  <c r="M36" i="7"/>
  <c r="Q37" i="1"/>
  <c r="AC37" i="1"/>
  <c r="AB37" i="1"/>
  <c r="O37" i="1"/>
  <c r="M37" i="1"/>
  <c r="AA37" i="1"/>
  <c r="R37" i="1"/>
  <c r="C37" i="1"/>
  <c r="T37" i="1"/>
  <c r="B37" i="1"/>
  <c r="J37" i="1"/>
  <c r="X37" i="1"/>
  <c r="V37" i="1"/>
  <c r="Y37" i="1"/>
  <c r="N37" i="1"/>
  <c r="P36" i="7" l="1"/>
  <c r="O36" i="7"/>
  <c r="Q36" i="7"/>
  <c r="J38" i="7"/>
  <c r="D28" i="5"/>
  <c r="C28" i="5"/>
  <c r="B28" i="5"/>
  <c r="A38" i="1"/>
  <c r="E38" i="1"/>
  <c r="B38" i="1"/>
  <c r="M38" i="1"/>
  <c r="R38" i="1"/>
  <c r="C38" i="1"/>
  <c r="F38" i="1"/>
  <c r="P38" i="1"/>
  <c r="V38" i="1"/>
  <c r="K37" i="7"/>
  <c r="Z38" i="1"/>
  <c r="S38" i="1"/>
  <c r="T38" i="1"/>
  <c r="N37" i="7"/>
  <c r="M37" i="7"/>
  <c r="L38" i="7"/>
  <c r="Y38" i="1"/>
  <c r="J38" i="1"/>
  <c r="Q38" i="1"/>
  <c r="U38" i="1"/>
  <c r="W38" i="1"/>
  <c r="K38" i="1"/>
  <c r="D38" i="1"/>
  <c r="AC38" i="1"/>
  <c r="AB38" i="1"/>
  <c r="X38" i="1"/>
  <c r="AA38" i="1"/>
  <c r="G38" i="1"/>
  <c r="N38" i="1"/>
  <c r="L38" i="1"/>
  <c r="O38" i="1"/>
  <c r="I38" i="1"/>
  <c r="O37" i="7" l="1"/>
  <c r="P37" i="7"/>
  <c r="Q37" i="7"/>
  <c r="J39" i="7"/>
  <c r="D29" i="5"/>
  <c r="B29" i="5"/>
  <c r="C29" i="5"/>
  <c r="A39" i="1"/>
  <c r="I39" i="1"/>
  <c r="AA39" i="1"/>
  <c r="J39" i="1"/>
  <c r="E39" i="1"/>
  <c r="T39" i="1"/>
  <c r="K39" i="1"/>
  <c r="B39" i="1"/>
  <c r="Z39" i="1"/>
  <c r="G39" i="1"/>
  <c r="Y39" i="1"/>
  <c r="S39" i="1"/>
  <c r="N38" i="7"/>
  <c r="M38" i="7"/>
  <c r="L39" i="7"/>
  <c r="AB39" i="1"/>
  <c r="Q39" i="1"/>
  <c r="P39" i="1"/>
  <c r="R39" i="1"/>
  <c r="K38" i="7"/>
  <c r="U39" i="1"/>
  <c r="L39" i="1"/>
  <c r="W39" i="1"/>
  <c r="M39" i="1"/>
  <c r="O39" i="1"/>
  <c r="C39" i="1"/>
  <c r="AC39" i="1"/>
  <c r="X39" i="1"/>
  <c r="D39" i="1"/>
  <c r="F39" i="1"/>
  <c r="N39" i="1"/>
  <c r="V39" i="1"/>
  <c r="O38" i="7" l="1"/>
  <c r="P38" i="7"/>
  <c r="Q38" i="7"/>
  <c r="J40" i="7"/>
  <c r="C30" i="5"/>
  <c r="D30" i="5"/>
  <c r="B30" i="5"/>
  <c r="A40" i="1"/>
  <c r="R40" i="1"/>
  <c r="D40" i="1"/>
  <c r="Y40" i="1"/>
  <c r="X40" i="1"/>
  <c r="AB40" i="1"/>
  <c r="Q40" i="1"/>
  <c r="AC40" i="1"/>
  <c r="J40" i="1"/>
  <c r="K40" i="1"/>
  <c r="N40" i="1"/>
  <c r="P40" i="1"/>
  <c r="T40" i="1"/>
  <c r="K39" i="7"/>
  <c r="N39" i="7"/>
  <c r="L40" i="7"/>
  <c r="C40" i="1"/>
  <c r="V40" i="1"/>
  <c r="U40" i="1"/>
  <c r="AA40" i="1"/>
  <c r="M39" i="7"/>
  <c r="S40" i="1"/>
  <c r="O40" i="1"/>
  <c r="G40" i="1"/>
  <c r="F40" i="1"/>
  <c r="W40" i="1"/>
  <c r="M40" i="1"/>
  <c r="B40" i="1"/>
  <c r="L40" i="1"/>
  <c r="I40" i="1"/>
  <c r="Z40" i="1"/>
  <c r="E40" i="1"/>
  <c r="P39" i="7" l="1"/>
  <c r="O39" i="7"/>
  <c r="Q39" i="7"/>
  <c r="J41" i="7"/>
  <c r="B31" i="5"/>
  <c r="C31" i="5"/>
  <c r="D31" i="5"/>
  <c r="A41" i="1"/>
  <c r="AA41" i="1"/>
  <c r="I41" i="1"/>
  <c r="W41" i="1"/>
  <c r="U41" i="1"/>
  <c r="AB41" i="1"/>
  <c r="Z41" i="1"/>
  <c r="Y41" i="1"/>
  <c r="E41" i="1"/>
  <c r="T41" i="1"/>
  <c r="L41" i="1"/>
  <c r="J41" i="1"/>
  <c r="F41" i="1"/>
  <c r="L41" i="7"/>
  <c r="K40" i="7"/>
  <c r="N40" i="7"/>
  <c r="K41" i="1"/>
  <c r="C41" i="1"/>
  <c r="B41" i="1"/>
  <c r="D41" i="1"/>
  <c r="M40" i="7"/>
  <c r="O41" i="1"/>
  <c r="Q41" i="1"/>
  <c r="P41" i="1"/>
  <c r="G41" i="1"/>
  <c r="X41" i="1"/>
  <c r="V41" i="1"/>
  <c r="R41" i="1"/>
  <c r="AC41" i="1"/>
  <c r="S41" i="1"/>
  <c r="N41" i="1"/>
  <c r="M41" i="1"/>
  <c r="O40" i="7" l="1"/>
  <c r="P40" i="7"/>
  <c r="Q40" i="7"/>
  <c r="J42" i="7"/>
  <c r="C32" i="5"/>
  <c r="B32" i="5"/>
  <c r="D32" i="5"/>
  <c r="A42" i="1"/>
  <c r="J42" i="1"/>
  <c r="O42" i="1"/>
  <c r="I42" i="1"/>
  <c r="G42" i="1"/>
  <c r="W42" i="1"/>
  <c r="B42" i="1"/>
  <c r="C42" i="1"/>
  <c r="Y42" i="1"/>
  <c r="AC42" i="1"/>
  <c r="N41" i="7"/>
  <c r="D42" i="1"/>
  <c r="F42" i="1"/>
  <c r="Z42" i="1"/>
  <c r="M41" i="7"/>
  <c r="L42" i="7"/>
  <c r="Q42" i="1"/>
  <c r="X42" i="1"/>
  <c r="P42" i="1"/>
  <c r="N42" i="1"/>
  <c r="K41" i="7"/>
  <c r="M42" i="1"/>
  <c r="U42" i="1"/>
  <c r="S42" i="1"/>
  <c r="AA42" i="1"/>
  <c r="E42" i="1"/>
  <c r="AB42" i="1"/>
  <c r="R42" i="1"/>
  <c r="K42" i="1"/>
  <c r="T42" i="1"/>
  <c r="L42" i="1"/>
  <c r="V42" i="1"/>
  <c r="P41" i="7" l="1"/>
  <c r="O41" i="7"/>
  <c r="Q41" i="7"/>
  <c r="J43" i="7"/>
  <c r="C33" i="5"/>
  <c r="D33" i="5"/>
  <c r="B33" i="5"/>
  <c r="A43" i="1"/>
  <c r="T43" i="1"/>
  <c r="K42" i="7"/>
  <c r="B43" i="1"/>
  <c r="F43" i="1"/>
  <c r="E43" i="1"/>
  <c r="AA43" i="1"/>
  <c r="J43" i="1"/>
  <c r="G43" i="1"/>
  <c r="L43" i="1"/>
  <c r="M43" i="1"/>
  <c r="L43" i="7"/>
  <c r="V43" i="1"/>
  <c r="AC43" i="1"/>
  <c r="R43" i="1"/>
  <c r="M42" i="7"/>
  <c r="U43" i="1"/>
  <c r="Y43" i="1"/>
  <c r="C43" i="1"/>
  <c r="N42" i="7"/>
  <c r="Q43" i="1"/>
  <c r="K43" i="1"/>
  <c r="AB43" i="1"/>
  <c r="X43" i="1"/>
  <c r="N43" i="1"/>
  <c r="P43" i="1"/>
  <c r="W43" i="1"/>
  <c r="Z43" i="1"/>
  <c r="O43" i="1"/>
  <c r="I43" i="1"/>
  <c r="D43" i="1"/>
  <c r="S43" i="1"/>
  <c r="P42" i="7" l="1"/>
  <c r="O42" i="7"/>
  <c r="Q42" i="7"/>
  <c r="J44" i="7"/>
  <c r="A44" i="1"/>
  <c r="N43" i="7"/>
  <c r="G44" i="1"/>
  <c r="F44" i="1"/>
  <c r="W44" i="1"/>
  <c r="K43" i="7"/>
  <c r="B44" i="1"/>
  <c r="AA44" i="1"/>
  <c r="L44" i="7"/>
  <c r="N44" i="1"/>
  <c r="K44" i="1"/>
  <c r="I44" i="1"/>
  <c r="M43" i="7"/>
  <c r="Y44" i="1"/>
  <c r="P44" i="1"/>
  <c r="R44" i="1"/>
  <c r="D44" i="1"/>
  <c r="L44" i="1"/>
  <c r="V44" i="1"/>
  <c r="Q44" i="1"/>
  <c r="U44" i="1"/>
  <c r="O44" i="1"/>
  <c r="AB44" i="1"/>
  <c r="J44" i="1"/>
  <c r="M44" i="1"/>
  <c r="T44" i="1"/>
  <c r="S44" i="1"/>
  <c r="X44" i="1"/>
  <c r="C44" i="1"/>
  <c r="Z44" i="1"/>
  <c r="E44" i="1"/>
  <c r="AC44" i="1"/>
  <c r="O43" i="7" l="1"/>
  <c r="P43" i="7"/>
  <c r="Q43" i="7"/>
  <c r="J45" i="7"/>
  <c r="A45" i="1"/>
  <c r="L45" i="7"/>
  <c r="G45" i="1"/>
  <c r="R45" i="1"/>
  <c r="W45" i="1"/>
  <c r="K44" i="7"/>
  <c r="C45" i="1"/>
  <c r="AC45" i="1"/>
  <c r="M44" i="7"/>
  <c r="X45" i="1"/>
  <c r="B45" i="1"/>
  <c r="O45" i="1"/>
  <c r="I45" i="1"/>
  <c r="N44" i="7"/>
  <c r="D45" i="1"/>
  <c r="J45" i="1"/>
  <c r="E45" i="1"/>
  <c r="M45" i="1"/>
  <c r="L45" i="1"/>
  <c r="K45" i="1"/>
  <c r="AA45" i="1"/>
  <c r="Z45" i="1"/>
  <c r="T45" i="1"/>
  <c r="U45" i="1"/>
  <c r="Q45" i="1"/>
  <c r="V45" i="1"/>
  <c r="F45" i="1"/>
  <c r="Y45" i="1"/>
  <c r="S45" i="1"/>
  <c r="N45" i="1"/>
  <c r="AB45" i="1"/>
  <c r="P45" i="1"/>
  <c r="O44" i="7" l="1"/>
  <c r="P44" i="7"/>
  <c r="Q44" i="7"/>
  <c r="J46" i="7"/>
  <c r="A46" i="1"/>
  <c r="L46" i="7"/>
  <c r="G46" i="1"/>
  <c r="T46" i="1"/>
  <c r="AA46" i="1"/>
  <c r="N45" i="7"/>
  <c r="P46" i="1"/>
  <c r="U46" i="1"/>
  <c r="K45" i="7"/>
  <c r="F46" i="1"/>
  <c r="L46" i="1"/>
  <c r="W46" i="1"/>
  <c r="M45" i="7"/>
  <c r="R46" i="1"/>
  <c r="K46" i="1"/>
  <c r="Z46" i="1"/>
  <c r="Y46" i="1"/>
  <c r="AB46" i="1"/>
  <c r="V46" i="1"/>
  <c r="M46" i="1"/>
  <c r="X46" i="1"/>
  <c r="O46" i="1"/>
  <c r="J46" i="1"/>
  <c r="AC46" i="1"/>
  <c r="E46" i="1"/>
  <c r="I46" i="1"/>
  <c r="S46" i="1"/>
  <c r="C46" i="1"/>
  <c r="D46" i="1"/>
  <c r="N46" i="1"/>
  <c r="B46" i="1"/>
  <c r="Q46" i="1"/>
  <c r="P45" i="7" l="1"/>
  <c r="O45" i="7"/>
  <c r="Q45" i="7"/>
  <c r="J47" i="7"/>
  <c r="A47" i="1"/>
  <c r="N46" i="7"/>
  <c r="L47" i="1"/>
  <c r="K46" i="7"/>
  <c r="G47" i="1"/>
  <c r="K47" i="1"/>
  <c r="U47" i="1"/>
  <c r="E47" i="1"/>
  <c r="L47" i="7"/>
  <c r="D47" i="1"/>
  <c r="Q47" i="1"/>
  <c r="C47" i="1"/>
  <c r="X47" i="1"/>
  <c r="M46" i="7"/>
  <c r="S47" i="1"/>
  <c r="J47" i="1"/>
  <c r="N47" i="1"/>
  <c r="R47" i="1"/>
  <c r="W47" i="1"/>
  <c r="F47" i="1"/>
  <c r="V47" i="1"/>
  <c r="M47" i="1"/>
  <c r="P47" i="1"/>
  <c r="B47" i="1"/>
  <c r="AB47" i="1"/>
  <c r="AC47" i="1"/>
  <c r="O47" i="1"/>
  <c r="I47" i="1"/>
  <c r="AA47" i="1"/>
  <c r="Y47" i="1"/>
  <c r="Z47" i="1"/>
  <c r="T47" i="1"/>
  <c r="O46" i="7" l="1"/>
  <c r="P46" i="7"/>
  <c r="Q46" i="7"/>
  <c r="J48" i="7"/>
  <c r="A48" i="1"/>
  <c r="L48" i="7"/>
  <c r="D48" i="1"/>
  <c r="Y48" i="1"/>
  <c r="L48" i="1"/>
  <c r="M47" i="7"/>
  <c r="G48" i="1"/>
  <c r="T48" i="1"/>
  <c r="N47" i="7"/>
  <c r="Z48" i="1"/>
  <c r="AB48" i="1"/>
  <c r="N48" i="1"/>
  <c r="AA48" i="1"/>
  <c r="K47" i="7"/>
  <c r="R48" i="1"/>
  <c r="AC48" i="1"/>
  <c r="O48" i="1"/>
  <c r="S48" i="1"/>
  <c r="I48" i="1"/>
  <c r="F48" i="1"/>
  <c r="K48" i="1"/>
  <c r="C48" i="1"/>
  <c r="P48" i="1"/>
  <c r="M48" i="1"/>
  <c r="Q48" i="1"/>
  <c r="W48" i="1"/>
  <c r="X48" i="1"/>
  <c r="J48" i="1"/>
  <c r="E48" i="1"/>
  <c r="B48" i="1"/>
  <c r="V48" i="1"/>
  <c r="U48" i="1"/>
  <c r="P47" i="7" l="1"/>
  <c r="O47" i="7"/>
  <c r="Q47" i="7"/>
  <c r="J49" i="7"/>
  <c r="A49" i="1"/>
  <c r="M48" i="7"/>
  <c r="K49" i="1"/>
  <c r="F49" i="1"/>
  <c r="D49" i="1"/>
  <c r="K48" i="7"/>
  <c r="L49" i="1"/>
  <c r="E49" i="1"/>
  <c r="L49" i="7"/>
  <c r="Z49" i="1"/>
  <c r="T49" i="1"/>
  <c r="P49" i="1"/>
  <c r="R49" i="1"/>
  <c r="N48" i="7"/>
  <c r="O49" i="1"/>
  <c r="X49" i="1"/>
  <c r="S49" i="1"/>
  <c r="B49" i="1"/>
  <c r="W49" i="1"/>
  <c r="I49" i="1"/>
  <c r="N49" i="1"/>
  <c r="Y49" i="1"/>
  <c r="AB49" i="1"/>
  <c r="M49" i="1"/>
  <c r="AA49" i="1"/>
  <c r="G49" i="1"/>
  <c r="V49" i="1"/>
  <c r="U49" i="1"/>
  <c r="C49" i="1"/>
  <c r="Q49" i="1"/>
  <c r="AC49" i="1"/>
  <c r="J49" i="1"/>
  <c r="P48" i="7" l="1"/>
  <c r="O48" i="7"/>
  <c r="Q48" i="7"/>
  <c r="J50" i="7"/>
  <c r="A50" i="1"/>
  <c r="N49" i="7"/>
  <c r="F50" i="1"/>
  <c r="V50" i="1"/>
  <c r="D50" i="1"/>
  <c r="L50" i="7"/>
  <c r="P50" i="1"/>
  <c r="Q50" i="1"/>
  <c r="K49" i="7"/>
  <c r="E50" i="1"/>
  <c r="AA50" i="1"/>
  <c r="R50" i="1"/>
  <c r="M49" i="7"/>
  <c r="C50" i="1"/>
  <c r="L50" i="1"/>
  <c r="N50" i="1"/>
  <c r="Z50" i="1"/>
  <c r="O50" i="1"/>
  <c r="J50" i="1"/>
  <c r="I50" i="1"/>
  <c r="T50" i="1"/>
  <c r="X50" i="1"/>
  <c r="AB50" i="1"/>
  <c r="B50" i="1"/>
  <c r="Y50" i="1"/>
  <c r="W50" i="1"/>
  <c r="G50" i="1"/>
  <c r="M50" i="1"/>
  <c r="S50" i="1"/>
  <c r="AC50" i="1"/>
  <c r="K50" i="1"/>
  <c r="U50" i="1"/>
  <c r="O49" i="7" l="1"/>
  <c r="P49" i="7"/>
  <c r="Q49" i="7"/>
  <c r="J51" i="7"/>
  <c r="A51" i="1"/>
  <c r="L51" i="7"/>
  <c r="E51" i="1"/>
  <c r="AB51" i="1"/>
  <c r="M50" i="7"/>
  <c r="X51" i="1"/>
  <c r="C51" i="1"/>
  <c r="N50" i="7"/>
  <c r="K51" i="1"/>
  <c r="AA51" i="1"/>
  <c r="Z51" i="1"/>
  <c r="B51" i="1"/>
  <c r="K50" i="7"/>
  <c r="G51" i="1"/>
  <c r="S51" i="1"/>
  <c r="L51" i="1"/>
  <c r="J51" i="1"/>
  <c r="U51" i="1"/>
  <c r="M51" i="1"/>
  <c r="I51" i="1"/>
  <c r="O51" i="1"/>
  <c r="W51" i="1"/>
  <c r="Q51" i="1"/>
  <c r="AC51" i="1"/>
  <c r="N51" i="1"/>
  <c r="F51" i="1"/>
  <c r="V51" i="1"/>
  <c r="D51" i="1"/>
  <c r="P51" i="1"/>
  <c r="Y51" i="1"/>
  <c r="R51" i="1"/>
  <c r="T51" i="1"/>
  <c r="P50" i="7" l="1"/>
  <c r="O50" i="7"/>
  <c r="Q50" i="7"/>
  <c r="J52" i="7"/>
  <c r="A52" i="1"/>
  <c r="K51" i="7"/>
  <c r="G52" i="1"/>
  <c r="AC52" i="1"/>
  <c r="X52" i="1"/>
  <c r="L52" i="7"/>
  <c r="Y52" i="1"/>
  <c r="I52" i="1"/>
  <c r="M51" i="7"/>
  <c r="T52" i="1"/>
  <c r="F52" i="1"/>
  <c r="E52" i="1"/>
  <c r="J52" i="1"/>
  <c r="N51" i="7"/>
  <c r="AB52" i="1"/>
  <c r="O52" i="1"/>
  <c r="AA52" i="1"/>
  <c r="Z52" i="1"/>
  <c r="B52" i="1"/>
  <c r="W52" i="1"/>
  <c r="V52" i="1"/>
  <c r="P52" i="1"/>
  <c r="L52" i="1"/>
  <c r="M52" i="1"/>
  <c r="R52" i="1"/>
  <c r="N52" i="1"/>
  <c r="D52" i="1"/>
  <c r="U52" i="1"/>
  <c r="Q52" i="1"/>
  <c r="K52" i="1"/>
  <c r="S52" i="1"/>
  <c r="C52" i="1"/>
  <c r="P51" i="7" l="1"/>
  <c r="O51" i="7"/>
  <c r="Q51" i="7"/>
  <c r="J53" i="7"/>
  <c r="A53" i="1"/>
  <c r="L53" i="7"/>
  <c r="P53" i="1"/>
  <c r="D53" i="1"/>
  <c r="J53" i="1"/>
  <c r="L53" i="1"/>
  <c r="K52" i="7"/>
  <c r="K53" i="1"/>
  <c r="V53" i="1"/>
  <c r="M52" i="7"/>
  <c r="G53" i="1"/>
  <c r="R53" i="1"/>
  <c r="O53" i="1"/>
  <c r="N53" i="1"/>
  <c r="N52" i="7"/>
  <c r="AB53" i="1"/>
  <c r="W53" i="1"/>
  <c r="Z53" i="1"/>
  <c r="S53" i="1"/>
  <c r="M53" i="1"/>
  <c r="F53" i="1"/>
  <c r="C53" i="1"/>
  <c r="I53" i="1"/>
  <c r="T53" i="1"/>
  <c r="Y53" i="1"/>
  <c r="E53" i="1"/>
  <c r="X53" i="1"/>
  <c r="B53" i="1"/>
  <c r="AC53" i="1"/>
  <c r="AA53" i="1"/>
  <c r="Q53" i="1"/>
  <c r="U53" i="1"/>
  <c r="P52" i="7" l="1"/>
  <c r="O52" i="7"/>
  <c r="Q52" i="7"/>
  <c r="J54" i="7"/>
  <c r="A54" i="1"/>
  <c r="M53" i="7"/>
  <c r="Q54" i="1"/>
  <c r="E54" i="1"/>
  <c r="J54" i="1"/>
  <c r="L54" i="7"/>
  <c r="I54" i="1"/>
  <c r="T54" i="1"/>
  <c r="K53" i="7"/>
  <c r="G54" i="1"/>
  <c r="K54" i="1"/>
  <c r="B54" i="1"/>
  <c r="L54" i="1"/>
  <c r="N53" i="7"/>
  <c r="V54" i="1"/>
  <c r="D54" i="1"/>
  <c r="U54" i="1"/>
  <c r="O54" i="1"/>
  <c r="N54" i="1"/>
  <c r="F54" i="1"/>
  <c r="R54" i="1"/>
  <c r="P54" i="1"/>
  <c r="AC54" i="1"/>
  <c r="AB54" i="1"/>
  <c r="M54" i="1"/>
  <c r="X54" i="1"/>
  <c r="C54" i="1"/>
  <c r="AA54" i="1"/>
  <c r="Y54" i="1"/>
  <c r="S54" i="1"/>
  <c r="Z54" i="1"/>
  <c r="W54" i="1"/>
  <c r="O53" i="7" l="1"/>
  <c r="P53" i="7"/>
  <c r="Q53" i="7"/>
  <c r="J55" i="7"/>
  <c r="A55" i="1"/>
  <c r="M54" i="7"/>
  <c r="G55" i="1"/>
  <c r="Q55" i="1"/>
  <c r="P55" i="1"/>
  <c r="L55" i="7"/>
  <c r="R55" i="1"/>
  <c r="X55" i="1"/>
  <c r="I55" i="1"/>
  <c r="N54" i="7"/>
  <c r="L55" i="1"/>
  <c r="D55" i="1"/>
  <c r="F55" i="1"/>
  <c r="K54" i="7"/>
  <c r="U55" i="1"/>
  <c r="O55" i="1"/>
  <c r="AC55" i="1"/>
  <c r="T55" i="1"/>
  <c r="E55" i="1"/>
  <c r="V55" i="1"/>
  <c r="N55" i="1"/>
  <c r="AA55" i="1"/>
  <c r="AB55" i="1"/>
  <c r="C55" i="1"/>
  <c r="Z55" i="1"/>
  <c r="K55" i="1"/>
  <c r="Y55" i="1"/>
  <c r="J55" i="1"/>
  <c r="M55" i="1"/>
  <c r="W55" i="1"/>
  <c r="S55" i="1"/>
  <c r="B55" i="1"/>
  <c r="O54" i="7" l="1"/>
  <c r="P54" i="7"/>
  <c r="Q54" i="7"/>
  <c r="J56" i="7"/>
  <c r="A56" i="1"/>
  <c r="M55" i="7"/>
  <c r="AC56" i="1"/>
  <c r="X56" i="1"/>
  <c r="C56" i="1"/>
  <c r="N56" i="1"/>
  <c r="L56" i="7"/>
  <c r="Y56" i="1"/>
  <c r="M56" i="1"/>
  <c r="K56" i="1"/>
  <c r="N55" i="7"/>
  <c r="G56" i="1"/>
  <c r="I56" i="1"/>
  <c r="R56" i="1"/>
  <c r="Q56" i="1"/>
  <c r="K55" i="7"/>
  <c r="T56" i="1"/>
  <c r="P56" i="1"/>
  <c r="U56" i="1"/>
  <c r="V56" i="1"/>
  <c r="E56" i="1"/>
  <c r="B56" i="1"/>
  <c r="AB56" i="1"/>
  <c r="F56" i="1"/>
  <c r="AA56" i="1"/>
  <c r="O56" i="1"/>
  <c r="S56" i="1"/>
  <c r="J56" i="1"/>
  <c r="W56" i="1"/>
  <c r="L56" i="1"/>
  <c r="Z56" i="1"/>
  <c r="D56" i="1"/>
  <c r="O55" i="7" l="1"/>
  <c r="P55" i="7"/>
  <c r="Q55" i="7"/>
  <c r="J57" i="7"/>
  <c r="A57" i="1"/>
  <c r="M56" i="7"/>
  <c r="G57" i="1"/>
  <c r="I57" i="1"/>
  <c r="O57" i="1"/>
  <c r="L57" i="7"/>
  <c r="P57" i="1"/>
  <c r="R57" i="1"/>
  <c r="W57" i="1"/>
  <c r="N56" i="7"/>
  <c r="C57" i="1"/>
  <c r="X57" i="1"/>
  <c r="Z57" i="1"/>
  <c r="T57" i="1"/>
  <c r="K56" i="7"/>
  <c r="Q57" i="1"/>
  <c r="M57" i="1"/>
  <c r="F57" i="1"/>
  <c r="L57" i="1"/>
  <c r="AB57" i="1"/>
  <c r="Y57" i="1"/>
  <c r="J57" i="1"/>
  <c r="B57" i="1"/>
  <c r="V57" i="1"/>
  <c r="AC57" i="1"/>
  <c r="K57" i="1"/>
  <c r="AA57" i="1"/>
  <c r="S57" i="1"/>
  <c r="E57" i="1"/>
  <c r="D57" i="1"/>
  <c r="U57" i="1"/>
  <c r="N57" i="1"/>
  <c r="O56" i="7" l="1"/>
  <c r="P56" i="7"/>
  <c r="Q56" i="7"/>
  <c r="J58" i="7"/>
  <c r="A58" i="1"/>
  <c r="N57" i="7"/>
  <c r="D58" i="1"/>
  <c r="AA58" i="1"/>
  <c r="AB58" i="1"/>
  <c r="L58" i="7"/>
  <c r="E58" i="1"/>
  <c r="B58" i="1"/>
  <c r="Z58" i="1"/>
  <c r="M57" i="7"/>
  <c r="G58" i="1"/>
  <c r="J58" i="1"/>
  <c r="F58" i="1"/>
  <c r="X58" i="1"/>
  <c r="K57" i="7"/>
  <c r="O58" i="1"/>
  <c r="AC58" i="1"/>
  <c r="W58" i="1"/>
  <c r="V58" i="1"/>
  <c r="L58" i="1"/>
  <c r="U58" i="1"/>
  <c r="M58" i="1"/>
  <c r="N58" i="1"/>
  <c r="T58" i="1"/>
  <c r="S58" i="1"/>
  <c r="P58" i="1"/>
  <c r="K58" i="1"/>
  <c r="R58" i="1"/>
  <c r="I58" i="1"/>
  <c r="Y58" i="1"/>
  <c r="Q58" i="1"/>
  <c r="C58" i="1"/>
  <c r="P57" i="7" l="1"/>
  <c r="O57" i="7"/>
  <c r="Q57" i="7"/>
  <c r="J59" i="7"/>
  <c r="A59" i="1"/>
  <c r="N58" i="7"/>
  <c r="C59" i="1"/>
  <c r="O59" i="1"/>
  <c r="N59" i="1"/>
  <c r="M59" i="1"/>
  <c r="L59" i="7"/>
  <c r="K59" i="1"/>
  <c r="B59" i="1"/>
  <c r="M58" i="7"/>
  <c r="G59" i="1"/>
  <c r="D59" i="1"/>
  <c r="AA59" i="1"/>
  <c r="Y59" i="1"/>
  <c r="K58" i="7"/>
  <c r="Z59" i="1"/>
  <c r="U59" i="1"/>
  <c r="E59" i="1"/>
  <c r="AB59" i="1"/>
  <c r="Q59" i="1"/>
  <c r="R59" i="1"/>
  <c r="L59" i="1"/>
  <c r="I59" i="1"/>
  <c r="X59" i="1"/>
  <c r="W59" i="1"/>
  <c r="F59" i="1"/>
  <c r="J59" i="1"/>
  <c r="S59" i="1"/>
  <c r="T59" i="1"/>
  <c r="AC59" i="1"/>
  <c r="V59" i="1"/>
  <c r="P59" i="1"/>
  <c r="P58" i="7" l="1"/>
  <c r="O58" i="7"/>
  <c r="Q58" i="7"/>
  <c r="J60" i="7"/>
  <c r="A60" i="1"/>
  <c r="N59" i="7"/>
  <c r="K60" i="1"/>
  <c r="C60" i="1"/>
  <c r="P60" i="1"/>
  <c r="S60" i="1"/>
  <c r="L60" i="7"/>
  <c r="L60" i="1"/>
  <c r="T60" i="1"/>
  <c r="M60" i="1"/>
  <c r="M59" i="7"/>
  <c r="G60" i="1"/>
  <c r="Q60" i="1"/>
  <c r="D60" i="1"/>
  <c r="Z60" i="1"/>
  <c r="K59" i="7"/>
  <c r="AB60" i="1"/>
  <c r="B60" i="1"/>
  <c r="AA60" i="1"/>
  <c r="O60" i="1"/>
  <c r="I60" i="1"/>
  <c r="F60" i="1"/>
  <c r="AC60" i="1"/>
  <c r="R60" i="1"/>
  <c r="U60" i="1"/>
  <c r="X60" i="1"/>
  <c r="N60" i="1"/>
  <c r="Y60" i="1"/>
  <c r="E60" i="1"/>
  <c r="V60" i="1"/>
  <c r="J60" i="1"/>
  <c r="W60" i="1"/>
  <c r="P59" i="7" l="1"/>
  <c r="O59" i="7"/>
  <c r="Q59" i="7"/>
  <c r="J61" i="7"/>
  <c r="A61" i="1"/>
  <c r="M60" i="7"/>
  <c r="P61" i="1"/>
  <c r="L61" i="1"/>
  <c r="C61" i="1"/>
  <c r="R61" i="1"/>
  <c r="L61" i="7"/>
  <c r="AC61" i="1"/>
  <c r="E61" i="1"/>
  <c r="K60" i="7"/>
  <c r="D61" i="1"/>
  <c r="U61" i="1"/>
  <c r="T61" i="1"/>
  <c r="Y61" i="1"/>
  <c r="N60" i="7"/>
  <c r="G61" i="1"/>
  <c r="O61" i="1"/>
  <c r="K61" i="1"/>
  <c r="N61" i="1"/>
  <c r="V61" i="1"/>
  <c r="J61" i="1"/>
  <c r="I61" i="1"/>
  <c r="AB61" i="1"/>
  <c r="AA61" i="1"/>
  <c r="M61" i="1"/>
  <c r="Z61" i="1"/>
  <c r="F61" i="1"/>
  <c r="B61" i="1"/>
  <c r="X61" i="1"/>
  <c r="S61" i="1"/>
  <c r="W61" i="1"/>
  <c r="Q61" i="1"/>
  <c r="O60" i="7" l="1"/>
  <c r="P60" i="7"/>
  <c r="Q60" i="7"/>
  <c r="J62" i="7"/>
  <c r="A62" i="1"/>
  <c r="K61" i="7"/>
  <c r="S62" i="1"/>
  <c r="V62" i="1"/>
  <c r="X62" i="1"/>
  <c r="N61" i="7"/>
  <c r="R62" i="1"/>
  <c r="U62" i="1"/>
  <c r="F62" i="1"/>
  <c r="L62" i="7"/>
  <c r="N62" i="1"/>
  <c r="D62" i="1"/>
  <c r="L62" i="1"/>
  <c r="Y62" i="1"/>
  <c r="M61" i="7"/>
  <c r="M62" i="1"/>
  <c r="I62" i="1"/>
  <c r="AC62" i="1"/>
  <c r="B62" i="1"/>
  <c r="Z62" i="1"/>
  <c r="P62" i="1"/>
  <c r="K62" i="1"/>
  <c r="E62" i="1"/>
  <c r="J62" i="1"/>
  <c r="C62" i="1"/>
  <c r="O62" i="1"/>
  <c r="T62" i="1"/>
  <c r="W62" i="1"/>
  <c r="G62" i="1"/>
  <c r="AA62" i="1"/>
  <c r="AB62" i="1"/>
  <c r="Q62" i="1"/>
  <c r="O61" i="7" l="1"/>
  <c r="P61" i="7"/>
  <c r="Q61" i="7"/>
  <c r="J63" i="7"/>
  <c r="A63" i="1"/>
  <c r="N62" i="7"/>
  <c r="V63" i="1"/>
  <c r="J63" i="1"/>
  <c r="T63" i="1"/>
  <c r="M62" i="7"/>
  <c r="X63" i="1"/>
  <c r="AA63" i="1"/>
  <c r="P63" i="1"/>
  <c r="K62" i="7"/>
  <c r="E63" i="1"/>
  <c r="C63" i="1"/>
  <c r="Y63" i="1"/>
  <c r="N63" i="1"/>
  <c r="L63" i="7"/>
  <c r="L63" i="1"/>
  <c r="K63" i="1"/>
  <c r="Z63" i="1"/>
  <c r="U63" i="1"/>
  <c r="AC63" i="1"/>
  <c r="S63" i="1"/>
  <c r="R63" i="1"/>
  <c r="F63" i="1"/>
  <c r="Q63" i="1"/>
  <c r="G63" i="1"/>
  <c r="B63" i="1"/>
  <c r="O63" i="1"/>
  <c r="AB63" i="1"/>
  <c r="D63" i="1"/>
  <c r="M63" i="1"/>
  <c r="W63" i="1"/>
  <c r="I63" i="1"/>
  <c r="P62" i="7" l="1"/>
  <c r="O62" i="7"/>
  <c r="Q62" i="7"/>
  <c r="J64" i="7"/>
  <c r="A64" i="1"/>
  <c r="K63" i="7"/>
  <c r="D64" i="1"/>
  <c r="U64" i="1"/>
  <c r="M63" i="7"/>
  <c r="M64" i="1"/>
  <c r="AA64" i="1"/>
  <c r="N63" i="7"/>
  <c r="G64" i="1"/>
  <c r="P64" i="1"/>
  <c r="L64" i="1"/>
  <c r="F64" i="1"/>
  <c r="L64" i="7"/>
  <c r="I64" i="1"/>
  <c r="J64" i="1"/>
  <c r="C64" i="1"/>
  <c r="AB64" i="1"/>
  <c r="E64" i="1"/>
  <c r="AC64" i="1"/>
  <c r="N64" i="1"/>
  <c r="Z64" i="1"/>
  <c r="B64" i="1"/>
  <c r="W64" i="1"/>
  <c r="Q64" i="1"/>
  <c r="S64" i="1"/>
  <c r="R64" i="1"/>
  <c r="Y64" i="1"/>
  <c r="T64" i="1"/>
  <c r="K64" i="1"/>
  <c r="O64" i="1"/>
  <c r="X64" i="1"/>
  <c r="V64" i="1"/>
  <c r="P63" i="7" l="1"/>
  <c r="O63" i="7"/>
  <c r="Q63" i="7"/>
  <c r="J65" i="7"/>
  <c r="A65" i="1"/>
  <c r="K64" i="7"/>
  <c r="Z65" i="1"/>
  <c r="R65" i="1"/>
  <c r="Q65" i="1"/>
  <c r="E65" i="1"/>
  <c r="M64" i="7"/>
  <c r="D65" i="1"/>
  <c r="J65" i="1"/>
  <c r="N64" i="7"/>
  <c r="G65" i="1"/>
  <c r="X65" i="1"/>
  <c r="S65" i="1"/>
  <c r="B65" i="1"/>
  <c r="L65" i="7"/>
  <c r="L65" i="1"/>
  <c r="F65" i="1"/>
  <c r="AA65" i="1"/>
  <c r="AC65" i="1"/>
  <c r="V65" i="1"/>
  <c r="P65" i="1"/>
  <c r="AB65" i="1"/>
  <c r="C65" i="1"/>
  <c r="K65" i="1"/>
  <c r="I65" i="1"/>
  <c r="O65" i="1"/>
  <c r="M65" i="1"/>
  <c r="N65" i="1"/>
  <c r="T65" i="1"/>
  <c r="U65" i="1"/>
  <c r="W65" i="1"/>
  <c r="Y65" i="1"/>
  <c r="P64" i="7" l="1"/>
  <c r="O64" i="7"/>
  <c r="Q64" i="7"/>
  <c r="J66" i="7"/>
  <c r="A66" i="1"/>
  <c r="K65" i="7"/>
  <c r="G66" i="1"/>
  <c r="M66" i="1"/>
  <c r="S66" i="1"/>
  <c r="M65" i="7"/>
  <c r="X66" i="1"/>
  <c r="V66" i="1"/>
  <c r="N65" i="7"/>
  <c r="Z66" i="1"/>
  <c r="Q66" i="1"/>
  <c r="C66" i="1"/>
  <c r="U66" i="1"/>
  <c r="L66" i="7"/>
  <c r="N66" i="1"/>
  <c r="F66" i="1"/>
  <c r="E66" i="1"/>
  <c r="AA66" i="1"/>
  <c r="I66" i="1"/>
  <c r="D66" i="1"/>
  <c r="AC66" i="1"/>
  <c r="W66" i="1"/>
  <c r="O66" i="1"/>
  <c r="B66" i="1"/>
  <c r="Y66" i="1"/>
  <c r="J66" i="1"/>
  <c r="AB66" i="1"/>
  <c r="R66" i="1"/>
  <c r="T66" i="1"/>
  <c r="L66" i="1"/>
  <c r="K66" i="1"/>
  <c r="P66" i="1"/>
  <c r="P65" i="7" l="1"/>
  <c r="O65" i="7"/>
  <c r="Q65" i="7"/>
  <c r="J67" i="7"/>
  <c r="A67" i="1"/>
  <c r="K66" i="7"/>
  <c r="G67" i="1"/>
  <c r="C67" i="1"/>
  <c r="W67" i="1"/>
  <c r="M66" i="7"/>
  <c r="B67" i="1"/>
  <c r="Q67" i="1"/>
  <c r="L67" i="7"/>
  <c r="I67" i="1"/>
  <c r="K67" i="1"/>
  <c r="D67" i="1"/>
  <c r="O67" i="1"/>
  <c r="N66" i="7"/>
  <c r="R67" i="1"/>
  <c r="Y67" i="1"/>
  <c r="T67" i="1"/>
  <c r="AC67" i="1"/>
  <c r="P67" i="1"/>
  <c r="S67" i="1"/>
  <c r="L67" i="1"/>
  <c r="AA67" i="1"/>
  <c r="F67" i="1"/>
  <c r="E67" i="1"/>
  <c r="N67" i="1"/>
  <c r="X67" i="1"/>
  <c r="AB67" i="1"/>
  <c r="M67" i="1"/>
  <c r="U67" i="1"/>
  <c r="V67" i="1"/>
  <c r="J67" i="1"/>
  <c r="Z67" i="1"/>
  <c r="P66" i="7" l="1"/>
  <c r="O66" i="7"/>
  <c r="Q66" i="7"/>
  <c r="J68" i="7"/>
  <c r="A68" i="1"/>
  <c r="L68" i="7"/>
  <c r="J68" i="1"/>
  <c r="X68" i="1"/>
  <c r="W68" i="1"/>
  <c r="O68" i="1"/>
  <c r="N67" i="7"/>
  <c r="L68" i="1"/>
  <c r="I68" i="1"/>
  <c r="M67" i="7"/>
  <c r="T68" i="1"/>
  <c r="E68" i="1"/>
  <c r="AB68" i="1"/>
  <c r="K67" i="7"/>
  <c r="G68" i="1"/>
  <c r="P68" i="1"/>
  <c r="F68" i="1"/>
  <c r="AA68" i="1"/>
  <c r="C68" i="1"/>
  <c r="V68" i="1"/>
  <c r="AC68" i="1"/>
  <c r="S68" i="1"/>
  <c r="K68" i="1"/>
  <c r="Q68" i="1"/>
  <c r="R68" i="1"/>
  <c r="M68" i="1"/>
  <c r="D68" i="1"/>
  <c r="U68" i="1"/>
  <c r="Z68" i="1"/>
  <c r="B68" i="1"/>
  <c r="Y68" i="1"/>
  <c r="N68" i="1"/>
  <c r="P67" i="7" l="1"/>
  <c r="O67" i="7"/>
  <c r="Q67" i="7"/>
  <c r="J69" i="7"/>
  <c r="A69" i="1"/>
  <c r="K68" i="7"/>
  <c r="Z69" i="1"/>
  <c r="C69" i="1"/>
  <c r="M69" i="1"/>
  <c r="I69" i="1"/>
  <c r="M68" i="7"/>
  <c r="E69" i="1"/>
  <c r="S69" i="1"/>
  <c r="N68" i="7"/>
  <c r="AC69" i="1"/>
  <c r="F69" i="1"/>
  <c r="W69" i="1"/>
  <c r="AA69" i="1"/>
  <c r="L69" i="7"/>
  <c r="D69" i="1"/>
  <c r="Q69" i="1"/>
  <c r="N69" i="1"/>
  <c r="T69" i="1"/>
  <c r="O69" i="1"/>
  <c r="B69" i="1"/>
  <c r="J69" i="1"/>
  <c r="U69" i="1"/>
  <c r="L69" i="1"/>
  <c r="R69" i="1"/>
  <c r="K69" i="1"/>
  <c r="Y69" i="1"/>
  <c r="V69" i="1"/>
  <c r="G69" i="1"/>
  <c r="X69" i="1"/>
  <c r="P69" i="1"/>
  <c r="AB69" i="1"/>
  <c r="P68" i="7" l="1"/>
  <c r="O68" i="7"/>
  <c r="Q68" i="7"/>
  <c r="J70" i="7"/>
  <c r="A70" i="1"/>
  <c r="K69" i="7"/>
  <c r="G70" i="1"/>
  <c r="S70" i="1"/>
  <c r="J70" i="1"/>
  <c r="I70" i="1"/>
  <c r="N69" i="7"/>
  <c r="X70" i="1"/>
  <c r="E70" i="1"/>
  <c r="Z70" i="1"/>
  <c r="L70" i="7"/>
  <c r="U70" i="1"/>
  <c r="M70" i="1"/>
  <c r="Y70" i="1"/>
  <c r="M69" i="7"/>
  <c r="B70" i="1"/>
  <c r="P70" i="1"/>
  <c r="F70" i="1"/>
  <c r="Q70" i="1"/>
  <c r="R70" i="1"/>
  <c r="O70" i="1"/>
  <c r="N70" i="1"/>
  <c r="AC70" i="1"/>
  <c r="K70" i="1"/>
  <c r="C70" i="1"/>
  <c r="AB70" i="1"/>
  <c r="AA70" i="1"/>
  <c r="L70" i="1"/>
  <c r="T70" i="1"/>
  <c r="D70" i="1"/>
  <c r="W70" i="1"/>
  <c r="V70" i="1"/>
  <c r="O69" i="7" l="1"/>
  <c r="P69" i="7"/>
  <c r="Q69" i="7"/>
  <c r="J71" i="7"/>
  <c r="A71" i="1"/>
  <c r="M70" i="7"/>
  <c r="X71" i="1"/>
  <c r="L71" i="1"/>
  <c r="O71" i="1"/>
  <c r="N70" i="7"/>
  <c r="AB71" i="1"/>
  <c r="N71" i="1"/>
  <c r="M71" i="1"/>
  <c r="L71" i="7"/>
  <c r="Y71" i="1"/>
  <c r="T71" i="1"/>
  <c r="F71" i="1"/>
  <c r="K70" i="7"/>
  <c r="D71" i="1"/>
  <c r="AA71" i="1"/>
  <c r="AC71" i="1"/>
  <c r="S71" i="1"/>
  <c r="I71" i="1"/>
  <c r="Z71" i="1"/>
  <c r="E71" i="1"/>
  <c r="B71" i="1"/>
  <c r="W71" i="1"/>
  <c r="Q71" i="1"/>
  <c r="P71" i="1"/>
  <c r="K71" i="1"/>
  <c r="R71" i="1"/>
  <c r="G71" i="1"/>
  <c r="J71" i="1"/>
  <c r="C71" i="1"/>
  <c r="V71" i="1"/>
  <c r="U71" i="1"/>
  <c r="P70" i="7" l="1"/>
  <c r="O70" i="7"/>
  <c r="Q70" i="7"/>
  <c r="J72" i="7"/>
  <c r="A72" i="1"/>
  <c r="M71" i="7"/>
  <c r="P72" i="1"/>
  <c r="J72" i="1"/>
  <c r="Z72" i="1"/>
  <c r="Y72" i="1"/>
  <c r="N71" i="7"/>
  <c r="M72" i="1"/>
  <c r="AA72" i="1"/>
  <c r="L72" i="7"/>
  <c r="G72" i="1"/>
  <c r="X72" i="1"/>
  <c r="Q72" i="1"/>
  <c r="K71" i="7"/>
  <c r="T72" i="1"/>
  <c r="N72" i="1"/>
  <c r="U72" i="1"/>
  <c r="D72" i="1"/>
  <c r="O72" i="1"/>
  <c r="E72" i="1"/>
  <c r="W72" i="1"/>
  <c r="F72" i="1"/>
  <c r="S72" i="1"/>
  <c r="AC72" i="1"/>
  <c r="AB72" i="1"/>
  <c r="R72" i="1"/>
  <c r="I72" i="1"/>
  <c r="B72" i="1"/>
  <c r="L72" i="1"/>
  <c r="K72" i="1"/>
  <c r="C72" i="1"/>
  <c r="V72" i="1"/>
  <c r="P71" i="7" l="1"/>
  <c r="O71" i="7"/>
  <c r="Q71" i="7"/>
  <c r="J73" i="7"/>
  <c r="A73" i="1"/>
  <c r="K72" i="7"/>
  <c r="AC73" i="1"/>
  <c r="U73" i="1"/>
  <c r="R73" i="1"/>
  <c r="M73" i="1"/>
  <c r="N72" i="7"/>
  <c r="AB73" i="1"/>
  <c r="Q73" i="1"/>
  <c r="M72" i="7"/>
  <c r="G73" i="1"/>
  <c r="F73" i="1"/>
  <c r="L73" i="1"/>
  <c r="Y73" i="1"/>
  <c r="L73" i="7"/>
  <c r="I73" i="1"/>
  <c r="T73" i="1"/>
  <c r="P73" i="1"/>
  <c r="X73" i="1"/>
  <c r="W73" i="1"/>
  <c r="C73" i="1"/>
  <c r="S73" i="1"/>
  <c r="B73" i="1"/>
  <c r="Z73" i="1"/>
  <c r="K73" i="1"/>
  <c r="AA73" i="1"/>
  <c r="J73" i="1"/>
  <c r="D73" i="1"/>
  <c r="O73" i="1"/>
  <c r="E73" i="1"/>
  <c r="V73" i="1"/>
  <c r="N73" i="1"/>
  <c r="O72" i="7" l="1"/>
  <c r="P72" i="7"/>
  <c r="Q72" i="7"/>
  <c r="J74" i="7"/>
  <c r="A74" i="1"/>
  <c r="M73" i="7"/>
  <c r="AA74" i="1"/>
  <c r="I74" i="1"/>
  <c r="M74" i="1"/>
  <c r="K73" i="7"/>
  <c r="E74" i="1"/>
  <c r="N74" i="1"/>
  <c r="L74" i="7"/>
  <c r="G74" i="1"/>
  <c r="L74" i="1"/>
  <c r="AC74" i="1"/>
  <c r="N73" i="7"/>
  <c r="K74" i="1"/>
  <c r="D74" i="1"/>
  <c r="Q74" i="1"/>
  <c r="X74" i="1"/>
  <c r="T74" i="1"/>
  <c r="S74" i="1"/>
  <c r="C74" i="1"/>
  <c r="P74" i="1"/>
  <c r="U74" i="1"/>
  <c r="Y74" i="1"/>
  <c r="AB74" i="1"/>
  <c r="W74" i="1"/>
  <c r="F74" i="1"/>
  <c r="V74" i="1"/>
  <c r="B74" i="1"/>
  <c r="R74" i="1"/>
  <c r="J74" i="1"/>
  <c r="Z74" i="1"/>
  <c r="O74" i="1"/>
  <c r="P73" i="7" l="1"/>
  <c r="O73" i="7"/>
  <c r="Q73" i="7"/>
  <c r="J75" i="7"/>
  <c r="A75" i="1"/>
  <c r="K74" i="7"/>
  <c r="B75" i="1"/>
  <c r="P75" i="1"/>
  <c r="F75" i="1"/>
  <c r="L75" i="1"/>
  <c r="M74" i="7"/>
  <c r="T75" i="1"/>
  <c r="Y75" i="1"/>
  <c r="L75" i="7"/>
  <c r="N75" i="1"/>
  <c r="V75" i="1"/>
  <c r="R75" i="1"/>
  <c r="N74" i="7"/>
  <c r="E75" i="1"/>
  <c r="S75" i="1"/>
  <c r="AA75" i="1"/>
  <c r="AC75" i="1"/>
  <c r="I75" i="1"/>
  <c r="O75" i="1"/>
  <c r="M75" i="1"/>
  <c r="C75" i="1"/>
  <c r="K75" i="1"/>
  <c r="U75" i="1"/>
  <c r="J75" i="1"/>
  <c r="Z75" i="1"/>
  <c r="G75" i="1"/>
  <c r="AB75" i="1"/>
  <c r="Q75" i="1"/>
  <c r="D75" i="1"/>
  <c r="W75" i="1"/>
  <c r="X75" i="1"/>
  <c r="P74" i="7" l="1"/>
  <c r="O74" i="7"/>
  <c r="Q74" i="7"/>
  <c r="J76" i="7"/>
  <c r="A76" i="1"/>
  <c r="N75" i="7"/>
  <c r="AB76" i="1"/>
  <c r="F76" i="1"/>
  <c r="Z76" i="1"/>
  <c r="K75" i="7"/>
  <c r="P76" i="1"/>
  <c r="S76" i="1"/>
  <c r="M75" i="7"/>
  <c r="V76" i="1"/>
  <c r="O76" i="1"/>
  <c r="E76" i="1"/>
  <c r="AC76" i="1"/>
  <c r="L76" i="7"/>
  <c r="B76" i="1"/>
  <c r="W76" i="1"/>
  <c r="C76" i="1"/>
  <c r="L76" i="1"/>
  <c r="Q76" i="1"/>
  <c r="D76" i="1"/>
  <c r="R76" i="1"/>
  <c r="M76" i="1"/>
  <c r="T76" i="1"/>
  <c r="I76" i="1"/>
  <c r="U76" i="1"/>
  <c r="N76" i="1"/>
  <c r="X76" i="1"/>
  <c r="G76" i="1"/>
  <c r="Y76" i="1"/>
  <c r="J76" i="1"/>
  <c r="AA76" i="1"/>
  <c r="K76" i="1"/>
  <c r="P75" i="7" l="1"/>
  <c r="O75" i="7"/>
  <c r="Q75" i="7"/>
  <c r="J77" i="7"/>
  <c r="A77" i="1"/>
  <c r="K76" i="7"/>
  <c r="AB77" i="1"/>
  <c r="T77" i="1"/>
  <c r="J77" i="1"/>
  <c r="Z77" i="1"/>
  <c r="M76" i="7"/>
  <c r="W77" i="1"/>
  <c r="K77" i="1"/>
  <c r="N76" i="7"/>
  <c r="G77" i="1"/>
  <c r="X77" i="1"/>
  <c r="R77" i="1"/>
  <c r="I77" i="1"/>
  <c r="L77" i="7"/>
  <c r="B77" i="1"/>
  <c r="P77" i="1"/>
  <c r="C77" i="1"/>
  <c r="V77" i="1"/>
  <c r="O77" i="1"/>
  <c r="AC77" i="1"/>
  <c r="U77" i="1"/>
  <c r="D77" i="1"/>
  <c r="AA77" i="1"/>
  <c r="F77" i="1"/>
  <c r="S77" i="1"/>
  <c r="E77" i="1"/>
  <c r="Q77" i="1"/>
  <c r="N77" i="1"/>
  <c r="L77" i="1"/>
  <c r="Y77" i="1"/>
  <c r="M77" i="1"/>
  <c r="P76" i="7" l="1"/>
  <c r="O76" i="7"/>
  <c r="Q76" i="7"/>
  <c r="J78" i="7"/>
  <c r="A78" i="1"/>
  <c r="K77" i="7"/>
  <c r="N78" i="1"/>
  <c r="N77" i="7"/>
  <c r="F78" i="1"/>
  <c r="K78" i="1"/>
  <c r="M77" i="7"/>
  <c r="I78" i="1"/>
  <c r="G78" i="1"/>
  <c r="AA78" i="1"/>
  <c r="U78" i="1"/>
  <c r="L78" i="7"/>
  <c r="B78" i="1"/>
  <c r="J78" i="1"/>
  <c r="V78" i="1"/>
  <c r="S78" i="1"/>
  <c r="P78" i="1"/>
  <c r="Q78" i="1"/>
  <c r="D78" i="1"/>
  <c r="AC78" i="1"/>
  <c r="X78" i="1"/>
  <c r="Y78" i="1"/>
  <c r="O78" i="1"/>
  <c r="E78" i="1"/>
  <c r="L78" i="1"/>
  <c r="R78" i="1"/>
  <c r="M78" i="1"/>
  <c r="C78" i="1"/>
  <c r="Z78" i="1"/>
  <c r="T78" i="1"/>
  <c r="AB78" i="1"/>
  <c r="W78" i="1"/>
  <c r="O77" i="7" l="1"/>
  <c r="P77" i="7"/>
  <c r="Q77" i="7"/>
  <c r="J79" i="7"/>
  <c r="A79" i="1"/>
  <c r="M78" i="7"/>
  <c r="AA79" i="1"/>
  <c r="T79" i="1"/>
  <c r="P79" i="1"/>
  <c r="N78" i="7"/>
  <c r="B79" i="1"/>
  <c r="N79" i="1"/>
  <c r="L79" i="7"/>
  <c r="G79" i="1"/>
  <c r="D79" i="1"/>
  <c r="Q79" i="1"/>
  <c r="K78" i="7"/>
  <c r="Z79" i="1"/>
  <c r="V79" i="1"/>
  <c r="Y79" i="1"/>
  <c r="X79" i="1"/>
  <c r="C79" i="1"/>
  <c r="K79" i="1"/>
  <c r="I79" i="1"/>
  <c r="R79" i="1"/>
  <c r="M79" i="1"/>
  <c r="E79" i="1"/>
  <c r="O79" i="1"/>
  <c r="AB79" i="1"/>
  <c r="J79" i="1"/>
  <c r="F79" i="1"/>
  <c r="L79" i="1"/>
  <c r="U79" i="1"/>
  <c r="S79" i="1"/>
  <c r="W79" i="1"/>
  <c r="AC79" i="1"/>
  <c r="P78" i="7" l="1"/>
  <c r="O78" i="7"/>
  <c r="Q78" i="7"/>
  <c r="J80" i="7"/>
  <c r="A80" i="1"/>
  <c r="M79" i="7"/>
  <c r="T80" i="1"/>
  <c r="I80" i="1"/>
  <c r="V80" i="1"/>
  <c r="N79" i="7"/>
  <c r="N80" i="1"/>
  <c r="AA80" i="1"/>
  <c r="K79" i="7"/>
  <c r="D80" i="1"/>
  <c r="W80" i="1"/>
  <c r="AC80" i="1"/>
  <c r="L80" i="7"/>
  <c r="G80" i="1"/>
  <c r="P80" i="1"/>
  <c r="L80" i="1"/>
  <c r="O80" i="1"/>
  <c r="Q80" i="1"/>
  <c r="F80" i="1"/>
  <c r="J80" i="1"/>
  <c r="B80" i="1"/>
  <c r="C80" i="1"/>
  <c r="S80" i="1"/>
  <c r="U80" i="1"/>
  <c r="R80" i="1"/>
  <c r="X80" i="1"/>
  <c r="E80" i="1"/>
  <c r="K80" i="1"/>
  <c r="AB80" i="1"/>
  <c r="M80" i="1"/>
  <c r="Y80" i="1"/>
  <c r="Z80" i="1"/>
  <c r="O79" i="7" l="1"/>
  <c r="P79" i="7"/>
  <c r="Q79" i="7"/>
  <c r="J81" i="7"/>
  <c r="A81" i="1"/>
  <c r="K80" i="7"/>
  <c r="I81" i="1"/>
  <c r="N81" i="1"/>
  <c r="J81" i="1"/>
  <c r="M80" i="7"/>
  <c r="T81" i="1"/>
  <c r="V81" i="1"/>
  <c r="N80" i="7"/>
  <c r="G81" i="1"/>
  <c r="L81" i="1"/>
  <c r="W81" i="1"/>
  <c r="L81" i="7"/>
  <c r="Z81" i="1"/>
  <c r="U81" i="1"/>
  <c r="AA81" i="1"/>
  <c r="O81" i="1"/>
  <c r="AB81" i="1"/>
  <c r="M81" i="1"/>
  <c r="S81" i="1"/>
  <c r="AC81" i="1"/>
  <c r="E81" i="1"/>
  <c r="C81" i="1"/>
  <c r="Q81" i="1"/>
  <c r="P81" i="1"/>
  <c r="F81" i="1"/>
  <c r="D81" i="1"/>
  <c r="R81" i="1"/>
  <c r="K81" i="1"/>
  <c r="X81" i="1"/>
  <c r="B81" i="1"/>
  <c r="Y81" i="1"/>
  <c r="P80" i="7" l="1"/>
  <c r="O80" i="7"/>
  <c r="Q80" i="7"/>
  <c r="J82" i="7"/>
  <c r="A82" i="1"/>
  <c r="N81" i="7"/>
  <c r="C82" i="1"/>
  <c r="L82" i="1"/>
  <c r="AC82" i="1"/>
  <c r="S82" i="1"/>
  <c r="M81" i="7"/>
  <c r="R82" i="1"/>
  <c r="T82" i="1"/>
  <c r="Z82" i="1"/>
  <c r="L82" i="7"/>
  <c r="Q82" i="1"/>
  <c r="U82" i="1"/>
  <c r="P82" i="1"/>
  <c r="E82" i="1"/>
  <c r="K81" i="7"/>
  <c r="G82" i="1"/>
  <c r="Y82" i="1"/>
  <c r="O82" i="1"/>
  <c r="M82" i="1"/>
  <c r="AB82" i="1"/>
  <c r="N82" i="1"/>
  <c r="F82" i="1"/>
  <c r="I82" i="1"/>
  <c r="X82" i="1"/>
  <c r="B82" i="1"/>
  <c r="AA82" i="1"/>
  <c r="D82" i="1"/>
  <c r="V82" i="1"/>
  <c r="W82" i="1"/>
  <c r="K82" i="1"/>
  <c r="J82" i="1"/>
  <c r="O81" i="7" l="1"/>
  <c r="P81" i="7"/>
  <c r="Q81" i="7"/>
  <c r="J83" i="7"/>
  <c r="A83" i="1"/>
  <c r="M82" i="7"/>
  <c r="D83" i="1"/>
  <c r="G83" i="1"/>
  <c r="AB83" i="1"/>
  <c r="K82" i="7"/>
  <c r="C83" i="1"/>
  <c r="I83" i="1"/>
  <c r="O83" i="1"/>
  <c r="N82" i="7"/>
  <c r="W83" i="1"/>
  <c r="AA83" i="1"/>
  <c r="R83" i="1"/>
  <c r="AC83" i="1"/>
  <c r="L83" i="7"/>
  <c r="Z83" i="1"/>
  <c r="S83" i="1"/>
  <c r="L83" i="1"/>
  <c r="N83" i="1"/>
  <c r="K83" i="1"/>
  <c r="X83" i="1"/>
  <c r="U83" i="1"/>
  <c r="B83" i="1"/>
  <c r="E83" i="1"/>
  <c r="V83" i="1"/>
  <c r="T83" i="1"/>
  <c r="Y83" i="1"/>
  <c r="F83" i="1"/>
  <c r="Q83" i="1"/>
  <c r="J83" i="1"/>
  <c r="M83" i="1"/>
  <c r="P83" i="1"/>
  <c r="O82" i="7" l="1"/>
  <c r="P82" i="7"/>
  <c r="Q82" i="7"/>
  <c r="J84" i="7"/>
  <c r="A84" i="1"/>
  <c r="M83" i="7"/>
  <c r="E84" i="1"/>
  <c r="AC84" i="1"/>
  <c r="K84" i="1"/>
  <c r="K83" i="7"/>
  <c r="T84" i="1"/>
  <c r="L84" i="1"/>
  <c r="L84" i="7"/>
  <c r="V84" i="1"/>
  <c r="Q84" i="1"/>
  <c r="O84" i="1"/>
  <c r="M84" i="1"/>
  <c r="N83" i="7"/>
  <c r="Z84" i="1"/>
  <c r="G84" i="1"/>
  <c r="Y84" i="1"/>
  <c r="P84" i="1"/>
  <c r="I84" i="1"/>
  <c r="R84" i="1"/>
  <c r="F84" i="1"/>
  <c r="U84" i="1"/>
  <c r="AA84" i="1"/>
  <c r="AB84" i="1"/>
  <c r="J84" i="1"/>
  <c r="C84" i="1"/>
  <c r="W84" i="1"/>
  <c r="B84" i="1"/>
  <c r="X84" i="1"/>
  <c r="D84" i="1"/>
  <c r="N84" i="1"/>
  <c r="S84" i="1"/>
  <c r="P83" i="7" l="1"/>
  <c r="O83" i="7"/>
  <c r="Q83" i="7"/>
  <c r="J85" i="7"/>
  <c r="A85" i="1"/>
  <c r="N84" i="7"/>
  <c r="K84" i="7"/>
  <c r="T85" i="1"/>
  <c r="G85" i="1"/>
  <c r="X85" i="1"/>
  <c r="B85" i="1"/>
  <c r="O85" i="1"/>
  <c r="L85" i="7"/>
  <c r="R85" i="1"/>
  <c r="M85" i="1"/>
  <c r="V85" i="1"/>
  <c r="M84" i="7"/>
  <c r="I85" i="1"/>
  <c r="C85" i="1"/>
  <c r="K85" i="1"/>
  <c r="L85" i="1"/>
  <c r="P85" i="1"/>
  <c r="U85" i="1"/>
  <c r="Z85" i="1"/>
  <c r="J85" i="1"/>
  <c r="W85" i="1"/>
  <c r="E85" i="1"/>
  <c r="Y85" i="1"/>
  <c r="AA85" i="1"/>
  <c r="AC85" i="1"/>
  <c r="S85" i="1"/>
  <c r="AB85" i="1"/>
  <c r="F85" i="1"/>
  <c r="Q85" i="1"/>
  <c r="N85" i="1"/>
  <c r="D85" i="1"/>
  <c r="O84" i="7" l="1"/>
  <c r="P84" i="7"/>
  <c r="Q84" i="7"/>
  <c r="J86" i="7"/>
  <c r="A86" i="1"/>
  <c r="N85" i="7"/>
  <c r="N86" i="1"/>
  <c r="C86" i="1"/>
  <c r="M85" i="7"/>
  <c r="J86" i="1"/>
  <c r="V86" i="1"/>
  <c r="L86" i="7"/>
  <c r="K86" i="1"/>
  <c r="O86" i="1"/>
  <c r="L86" i="1"/>
  <c r="AC86" i="1"/>
  <c r="K85" i="7"/>
  <c r="W86" i="1"/>
  <c r="M86" i="1"/>
  <c r="Q86" i="1"/>
  <c r="AA86" i="1"/>
  <c r="Z86" i="1"/>
  <c r="T86" i="1"/>
  <c r="G86" i="1"/>
  <c r="Y86" i="1"/>
  <c r="E86" i="1"/>
  <c r="U86" i="1"/>
  <c r="I86" i="1"/>
  <c r="D86" i="1"/>
  <c r="AB86" i="1"/>
  <c r="P86" i="1"/>
  <c r="S86" i="1"/>
  <c r="B86" i="1"/>
  <c r="F86" i="1"/>
  <c r="X86" i="1"/>
  <c r="R86" i="1"/>
  <c r="O85" i="7" l="1"/>
  <c r="P85" i="7"/>
  <c r="Q85" i="7"/>
  <c r="J87" i="7"/>
  <c r="A87" i="1"/>
  <c r="K86" i="7"/>
  <c r="X87" i="1"/>
  <c r="S87" i="1"/>
  <c r="M86" i="7"/>
  <c r="P87" i="1"/>
  <c r="L87" i="1"/>
  <c r="L87" i="7"/>
  <c r="R87" i="1"/>
  <c r="O87" i="1"/>
  <c r="M87" i="1"/>
  <c r="K87" i="1"/>
  <c r="N86" i="7"/>
  <c r="Y87" i="1"/>
  <c r="D87" i="1"/>
  <c r="W87" i="1"/>
  <c r="Z87" i="1"/>
  <c r="U87" i="1"/>
  <c r="B87" i="1"/>
  <c r="G87" i="1"/>
  <c r="AA87" i="1"/>
  <c r="F87" i="1"/>
  <c r="N87" i="1"/>
  <c r="Q87" i="1"/>
  <c r="T87" i="1"/>
  <c r="AC87" i="1"/>
  <c r="E87" i="1"/>
  <c r="V87" i="1"/>
  <c r="J87" i="1"/>
  <c r="C87" i="1"/>
  <c r="I87" i="1"/>
  <c r="AB87" i="1"/>
  <c r="P86" i="7" l="1"/>
  <c r="O86" i="7"/>
  <c r="Q86" i="7"/>
  <c r="J88" i="7"/>
  <c r="A88" i="1"/>
  <c r="M87" i="7"/>
  <c r="AA88" i="1"/>
  <c r="G88" i="1"/>
  <c r="U88" i="1"/>
  <c r="K87" i="7"/>
  <c r="R88" i="1"/>
  <c r="J88" i="1"/>
  <c r="L88" i="7"/>
  <c r="L88" i="1"/>
  <c r="AB88" i="1"/>
  <c r="AC88" i="1"/>
  <c r="N87" i="7"/>
  <c r="Z88" i="1"/>
  <c r="T88" i="1"/>
  <c r="M88" i="1"/>
  <c r="C88" i="1"/>
  <c r="S88" i="1"/>
  <c r="V88" i="1"/>
  <c r="K88" i="1"/>
  <c r="B88" i="1"/>
  <c r="O88" i="1"/>
  <c r="I88" i="1"/>
  <c r="Q88" i="1"/>
  <c r="D88" i="1"/>
  <c r="W88" i="1"/>
  <c r="P88" i="1"/>
  <c r="X88" i="1"/>
  <c r="E88" i="1"/>
  <c r="Y88" i="1"/>
  <c r="F88" i="1"/>
  <c r="N88" i="1"/>
  <c r="P87" i="7" l="1"/>
  <c r="O87" i="7"/>
  <c r="Q87" i="7"/>
  <c r="J89" i="7"/>
  <c r="A89" i="1"/>
  <c r="M88" i="7"/>
  <c r="AC89" i="1"/>
  <c r="U89" i="1"/>
  <c r="P89" i="1"/>
  <c r="W89" i="1"/>
  <c r="K88" i="7"/>
  <c r="O89" i="1"/>
  <c r="M89" i="1"/>
  <c r="N88" i="7"/>
  <c r="Q89" i="1"/>
  <c r="Z89" i="1"/>
  <c r="C89" i="1"/>
  <c r="L89" i="7"/>
  <c r="E89" i="1"/>
  <c r="F89" i="1"/>
  <c r="Y89" i="1"/>
  <c r="V89" i="1"/>
  <c r="J89" i="1"/>
  <c r="I89" i="1"/>
  <c r="G89" i="1"/>
  <c r="S89" i="1"/>
  <c r="AA89" i="1"/>
  <c r="T89" i="1"/>
  <c r="AB89" i="1"/>
  <c r="X89" i="1"/>
  <c r="N89" i="1"/>
  <c r="B89" i="1"/>
  <c r="L89" i="1"/>
  <c r="D89" i="1"/>
  <c r="K89" i="1"/>
  <c r="R89" i="1"/>
  <c r="O88" i="7" l="1"/>
  <c r="P88" i="7"/>
  <c r="Q88" i="7"/>
  <c r="J90" i="7"/>
  <c r="A90" i="1"/>
  <c r="M89" i="7"/>
  <c r="F90" i="1"/>
  <c r="C90" i="1"/>
  <c r="W90" i="1"/>
  <c r="K89" i="7"/>
  <c r="X90" i="1"/>
  <c r="V90" i="1"/>
  <c r="D90" i="1"/>
  <c r="L90" i="7"/>
  <c r="N90" i="1"/>
  <c r="P90" i="1"/>
  <c r="I90" i="1"/>
  <c r="AA90" i="1"/>
  <c r="Q90" i="1"/>
  <c r="N89" i="7"/>
  <c r="R90" i="1"/>
  <c r="U90" i="1"/>
  <c r="O90" i="1"/>
  <c r="L90" i="1"/>
  <c r="T90" i="1"/>
  <c r="J90" i="1"/>
  <c r="K90" i="1"/>
  <c r="E90" i="1"/>
  <c r="AB90" i="1"/>
  <c r="Y90" i="1"/>
  <c r="M90" i="1"/>
  <c r="S90" i="1"/>
  <c r="Z90" i="1"/>
  <c r="B90" i="1"/>
  <c r="AC90" i="1"/>
  <c r="G90" i="1"/>
  <c r="P89" i="7" l="1"/>
  <c r="O89" i="7"/>
  <c r="Q89" i="7"/>
  <c r="J91" i="7"/>
  <c r="A91" i="1"/>
  <c r="N90" i="7"/>
  <c r="R91" i="1"/>
  <c r="I91" i="1"/>
  <c r="G91" i="1"/>
  <c r="F91" i="1"/>
  <c r="K90" i="7"/>
  <c r="Y91" i="1"/>
  <c r="S91" i="1"/>
  <c r="D91" i="1"/>
  <c r="M90" i="7"/>
  <c r="N91" i="1"/>
  <c r="W91" i="1"/>
  <c r="P91" i="1"/>
  <c r="K91" i="1"/>
  <c r="L91" i="7"/>
  <c r="T91" i="1"/>
  <c r="AB91" i="1"/>
  <c r="B91" i="1"/>
  <c r="AC91" i="1"/>
  <c r="Q91" i="1"/>
  <c r="AA91" i="1"/>
  <c r="O91" i="1"/>
  <c r="C91" i="1"/>
  <c r="E91" i="1"/>
  <c r="U91" i="1"/>
  <c r="L91" i="1"/>
  <c r="X91" i="1"/>
  <c r="Z91" i="1"/>
  <c r="J91" i="1"/>
  <c r="M91" i="1"/>
  <c r="V91" i="1"/>
  <c r="O90" i="7" l="1"/>
  <c r="P90" i="7"/>
  <c r="Q90" i="7"/>
  <c r="J92" i="7"/>
  <c r="A92" i="1"/>
  <c r="M91" i="7"/>
  <c r="V92" i="1"/>
  <c r="C92" i="1"/>
  <c r="E92" i="1"/>
  <c r="N91" i="7"/>
  <c r="X92" i="1"/>
  <c r="W92" i="1"/>
  <c r="I92" i="1"/>
  <c r="L92" i="7"/>
  <c r="AC92" i="1"/>
  <c r="G92" i="1"/>
  <c r="K92" i="1"/>
  <c r="L92" i="1"/>
  <c r="K91" i="7"/>
  <c r="Q92" i="1"/>
  <c r="N92" i="1"/>
  <c r="R92" i="1"/>
  <c r="D92" i="1"/>
  <c r="T92" i="1"/>
  <c r="B92" i="1"/>
  <c r="S92" i="1"/>
  <c r="Y92" i="1"/>
  <c r="F92" i="1"/>
  <c r="P92" i="1"/>
  <c r="O92" i="1"/>
  <c r="AB92" i="1"/>
  <c r="J92" i="1"/>
  <c r="U92" i="1"/>
  <c r="M92" i="1"/>
  <c r="Z92" i="1"/>
  <c r="AA92" i="1"/>
  <c r="P91" i="7" l="1"/>
  <c r="O91" i="7"/>
  <c r="Q91" i="7"/>
  <c r="J93" i="7"/>
  <c r="A93" i="1"/>
  <c r="M92" i="7"/>
  <c r="F93" i="1"/>
  <c r="L93" i="1"/>
  <c r="C93" i="1"/>
  <c r="N92" i="7"/>
  <c r="G93" i="1"/>
  <c r="B93" i="1"/>
  <c r="L93" i="7"/>
  <c r="M93" i="1"/>
  <c r="I93" i="1"/>
  <c r="D93" i="1"/>
  <c r="K93" i="1"/>
  <c r="K92" i="7"/>
  <c r="Z93" i="1"/>
  <c r="S93" i="1"/>
  <c r="J93" i="1"/>
  <c r="O93" i="1"/>
  <c r="AA93" i="1"/>
  <c r="P93" i="1"/>
  <c r="AB93" i="1"/>
  <c r="W93" i="1"/>
  <c r="R93" i="1"/>
  <c r="N93" i="1"/>
  <c r="Y93" i="1"/>
  <c r="Q93" i="1"/>
  <c r="E93" i="1"/>
  <c r="U93" i="1"/>
  <c r="AC93" i="1"/>
  <c r="V93" i="1"/>
  <c r="X93" i="1"/>
  <c r="T93" i="1"/>
  <c r="P92" i="7" l="1"/>
  <c r="O92" i="7"/>
  <c r="Q92" i="7"/>
  <c r="J94" i="7"/>
  <c r="A94" i="1"/>
  <c r="M93" i="7"/>
  <c r="F94" i="1"/>
  <c r="D94" i="1"/>
  <c r="O94" i="1"/>
  <c r="K93" i="7"/>
  <c r="Y94" i="1"/>
  <c r="C94" i="1"/>
  <c r="L94" i="7"/>
  <c r="P94" i="1"/>
  <c r="L94" i="1"/>
  <c r="AA94" i="1"/>
  <c r="M94" i="1"/>
  <c r="N93" i="7"/>
  <c r="T94" i="1"/>
  <c r="AB94" i="1"/>
  <c r="K94" i="1"/>
  <c r="W94" i="1"/>
  <c r="J94" i="1"/>
  <c r="N94" i="1"/>
  <c r="S94" i="1"/>
  <c r="V94" i="1"/>
  <c r="E94" i="1"/>
  <c r="X94" i="1"/>
  <c r="AC94" i="1"/>
  <c r="R94" i="1"/>
  <c r="U94" i="1"/>
  <c r="B94" i="1"/>
  <c r="Z94" i="1"/>
  <c r="G94" i="1"/>
  <c r="I94" i="1"/>
  <c r="Q94" i="1"/>
  <c r="P93" i="7" l="1"/>
  <c r="O93" i="7"/>
  <c r="Q93" i="7"/>
  <c r="J95" i="7"/>
  <c r="A95" i="1"/>
  <c r="M94" i="7"/>
  <c r="V95" i="1"/>
  <c r="G95" i="1"/>
  <c r="AB95" i="1"/>
  <c r="N94" i="7"/>
  <c r="O95" i="1"/>
  <c r="Q95" i="1"/>
  <c r="R95" i="1"/>
  <c r="K94" i="7"/>
  <c r="P95" i="1"/>
  <c r="M95" i="1"/>
  <c r="L95" i="7"/>
  <c r="T95" i="1"/>
  <c r="C95" i="1"/>
  <c r="E95" i="1"/>
  <c r="K95" i="1"/>
  <c r="AC95" i="1"/>
  <c r="F95" i="1"/>
  <c r="N95" i="1"/>
  <c r="S95" i="1"/>
  <c r="Z95" i="1"/>
  <c r="W95" i="1"/>
  <c r="AA95" i="1"/>
  <c r="B95" i="1"/>
  <c r="L95" i="1"/>
  <c r="J95" i="1"/>
  <c r="U95" i="1"/>
  <c r="D95" i="1"/>
  <c r="X95" i="1"/>
  <c r="I95" i="1"/>
  <c r="Y95" i="1"/>
  <c r="O94" i="7" l="1"/>
  <c r="P94" i="7"/>
  <c r="Q94" i="7"/>
  <c r="J96" i="7"/>
  <c r="A96" i="1"/>
  <c r="M95" i="7"/>
  <c r="R96" i="1"/>
  <c r="B96" i="1"/>
  <c r="K95" i="7"/>
  <c r="AA96" i="1"/>
  <c r="L96" i="7"/>
  <c r="L96" i="1"/>
  <c r="I96" i="1"/>
  <c r="W96" i="1"/>
  <c r="Z96" i="1"/>
  <c r="N95" i="7"/>
  <c r="E96" i="1"/>
  <c r="K96" i="1"/>
  <c r="F96" i="1"/>
  <c r="V96" i="1"/>
  <c r="N96" i="1"/>
  <c r="Y96" i="1"/>
  <c r="U96" i="1"/>
  <c r="M96" i="1"/>
  <c r="O96" i="1"/>
  <c r="AB96" i="1"/>
  <c r="P96" i="1"/>
  <c r="D96" i="1"/>
  <c r="T96" i="1"/>
  <c r="C96" i="1"/>
  <c r="AC96" i="1"/>
  <c r="S96" i="1"/>
  <c r="X96" i="1"/>
  <c r="G96" i="1"/>
  <c r="Q96" i="1"/>
  <c r="J96" i="1"/>
  <c r="P95" i="7" l="1"/>
  <c r="O95" i="7"/>
  <c r="Q95" i="7"/>
  <c r="J97" i="7"/>
  <c r="A97" i="1"/>
  <c r="N96" i="7"/>
  <c r="M96" i="7"/>
  <c r="O97" i="1"/>
  <c r="G97" i="1"/>
  <c r="J97" i="1"/>
  <c r="L97" i="7"/>
  <c r="F97" i="1"/>
  <c r="X97" i="1"/>
  <c r="E97" i="1"/>
  <c r="K96" i="7"/>
  <c r="V97" i="1"/>
  <c r="P97" i="1"/>
  <c r="B97" i="1"/>
  <c r="W97" i="1"/>
  <c r="Q97" i="1"/>
  <c r="C97" i="1"/>
  <c r="M97" i="1"/>
  <c r="R97" i="1"/>
  <c r="AB97" i="1"/>
  <c r="K97" i="1"/>
  <c r="D97" i="1"/>
  <c r="AA97" i="1"/>
  <c r="T97" i="1"/>
  <c r="S97" i="1"/>
  <c r="U97" i="1"/>
  <c r="Z97" i="1"/>
  <c r="L97" i="1"/>
  <c r="Y97" i="1"/>
  <c r="N97" i="1"/>
  <c r="AC97" i="1"/>
  <c r="I97" i="1"/>
  <c r="P96" i="7" l="1"/>
  <c r="O96" i="7"/>
  <c r="Q96" i="7"/>
  <c r="J98" i="7"/>
  <c r="A98" i="1"/>
  <c r="K97" i="7"/>
  <c r="N97" i="7"/>
  <c r="T98" i="1"/>
  <c r="X98" i="1"/>
  <c r="M98" i="1"/>
  <c r="Q98" i="1"/>
  <c r="M97" i="7"/>
  <c r="Y98" i="1"/>
  <c r="W98" i="1"/>
  <c r="D98" i="1"/>
  <c r="AC98" i="1"/>
  <c r="C98" i="1"/>
  <c r="L98" i="7"/>
  <c r="J98" i="1"/>
  <c r="G98" i="1"/>
  <c r="B98" i="1"/>
  <c r="L98" i="1"/>
  <c r="Z98" i="1"/>
  <c r="N98" i="1"/>
  <c r="K98" i="1"/>
  <c r="S98" i="1"/>
  <c r="F98" i="1"/>
  <c r="V98" i="1"/>
  <c r="U98" i="1"/>
  <c r="P98" i="1"/>
  <c r="O98" i="1"/>
  <c r="I98" i="1"/>
  <c r="E98" i="1"/>
  <c r="AA98" i="1"/>
  <c r="AB98" i="1"/>
  <c r="R98" i="1"/>
  <c r="O97" i="7" l="1"/>
  <c r="P97" i="7"/>
  <c r="Q97" i="7"/>
  <c r="J99" i="7"/>
  <c r="A99" i="1"/>
  <c r="N98" i="7"/>
  <c r="K98" i="7"/>
  <c r="Y99" i="1"/>
  <c r="R99" i="1"/>
  <c r="L99" i="1"/>
  <c r="P99" i="1"/>
  <c r="AB99" i="1"/>
  <c r="O99" i="1"/>
  <c r="L99" i="7"/>
  <c r="I99" i="1"/>
  <c r="X99" i="1"/>
  <c r="N99" i="1"/>
  <c r="T99" i="1"/>
  <c r="U99" i="1"/>
  <c r="M98" i="7"/>
  <c r="AA99" i="1"/>
  <c r="W99" i="1"/>
  <c r="C99" i="1"/>
  <c r="Q99" i="1"/>
  <c r="J99" i="1"/>
  <c r="G99" i="1"/>
  <c r="D99" i="1"/>
  <c r="AC99" i="1"/>
  <c r="K99" i="1"/>
  <c r="V99" i="1"/>
  <c r="B99" i="1"/>
  <c r="E99" i="1"/>
  <c r="M99" i="1"/>
  <c r="S99" i="1"/>
  <c r="Z99" i="1"/>
  <c r="F99" i="1"/>
  <c r="P98" i="7" l="1"/>
  <c r="O98" i="7"/>
  <c r="Q98" i="7"/>
  <c r="J100" i="7"/>
  <c r="A100" i="1"/>
  <c r="N99" i="7"/>
  <c r="M99" i="7"/>
  <c r="Y100" i="1"/>
  <c r="M100" i="1"/>
  <c r="E100" i="1"/>
  <c r="X100" i="1"/>
  <c r="Z100" i="1"/>
  <c r="P100" i="1"/>
  <c r="S100" i="1"/>
  <c r="L100" i="7"/>
  <c r="I100" i="1"/>
  <c r="T100" i="1"/>
  <c r="L100" i="1"/>
  <c r="N100" i="1"/>
  <c r="K100" i="1"/>
  <c r="AC100" i="1"/>
  <c r="B100" i="1"/>
  <c r="O100" i="1"/>
  <c r="K99" i="7"/>
  <c r="U100" i="1"/>
  <c r="F100" i="1"/>
  <c r="V100" i="1"/>
  <c r="Q100" i="1"/>
  <c r="AA100" i="1"/>
  <c r="J100" i="1"/>
  <c r="G100" i="1"/>
  <c r="AB100" i="1"/>
  <c r="W100" i="1"/>
  <c r="D100" i="1"/>
  <c r="C100" i="1"/>
  <c r="R100" i="1"/>
  <c r="O99" i="7" l="1"/>
  <c r="P99" i="7"/>
  <c r="Q99" i="7"/>
  <c r="J101" i="7"/>
  <c r="A101" i="1"/>
  <c r="K100" i="7"/>
  <c r="C101" i="1"/>
  <c r="AA101" i="1"/>
  <c r="AB101" i="1"/>
  <c r="M100" i="7"/>
  <c r="T101" i="1"/>
  <c r="D101" i="1"/>
  <c r="Q101" i="1"/>
  <c r="L101" i="7"/>
  <c r="I101" i="1"/>
  <c r="G101" i="1"/>
  <c r="V101" i="1"/>
  <c r="M101" i="1"/>
  <c r="N100" i="7"/>
  <c r="O101" i="1"/>
  <c r="N101" i="1"/>
  <c r="F101" i="1"/>
  <c r="E101" i="1"/>
  <c r="AC101" i="1"/>
  <c r="P101" i="1"/>
  <c r="J101" i="1"/>
  <c r="L101" i="1"/>
  <c r="B101" i="1"/>
  <c r="K101" i="1"/>
  <c r="U101" i="1"/>
  <c r="Y101" i="1"/>
  <c r="R101" i="1"/>
  <c r="X101" i="1"/>
  <c r="Z101" i="1"/>
  <c r="S101" i="1"/>
  <c r="W101" i="1"/>
  <c r="P100" i="7" l="1"/>
  <c r="O100" i="7"/>
  <c r="Q100" i="7"/>
  <c r="J102" i="7"/>
  <c r="A102" i="1"/>
  <c r="M101" i="7"/>
  <c r="M102" i="1"/>
  <c r="Z102" i="1"/>
  <c r="S102" i="1"/>
  <c r="Y102" i="1"/>
  <c r="N101" i="7"/>
  <c r="AA102" i="1"/>
  <c r="J102" i="1"/>
  <c r="E102" i="1"/>
  <c r="L102" i="7"/>
  <c r="B102" i="1"/>
  <c r="G102" i="1"/>
  <c r="AB102" i="1"/>
  <c r="AC102" i="1"/>
  <c r="K101" i="7"/>
  <c r="X102" i="1"/>
  <c r="K102" i="1"/>
  <c r="V102" i="1"/>
  <c r="T102" i="1"/>
  <c r="I102" i="1"/>
  <c r="O102" i="1"/>
  <c r="D102" i="1"/>
  <c r="P102" i="1"/>
  <c r="F102" i="1"/>
  <c r="W102" i="1"/>
  <c r="C102" i="1"/>
  <c r="R102" i="1"/>
  <c r="N102" i="1"/>
  <c r="U102" i="1"/>
  <c r="L102" i="1"/>
  <c r="Q102" i="1"/>
  <c r="P101" i="7" l="1"/>
  <c r="O101" i="7"/>
  <c r="Q101" i="7"/>
  <c r="J103" i="7"/>
  <c r="A103" i="1"/>
  <c r="N102" i="7"/>
  <c r="M102" i="7"/>
  <c r="K102" i="7"/>
  <c r="L103" i="7"/>
  <c r="J103" i="1"/>
  <c r="L103" i="1"/>
  <c r="Z103" i="1"/>
  <c r="F103" i="1"/>
  <c r="Q103" i="1"/>
  <c r="E103" i="1"/>
  <c r="R103" i="1"/>
  <c r="V103" i="1"/>
  <c r="X103" i="1"/>
  <c r="AA103" i="1"/>
  <c r="M103" i="1"/>
  <c r="W103" i="1"/>
  <c r="AC103" i="1"/>
  <c r="K103" i="1"/>
  <c r="I103" i="1"/>
  <c r="G103" i="1"/>
  <c r="T103" i="1"/>
  <c r="D103" i="1"/>
  <c r="P103" i="1"/>
  <c r="AB103" i="1"/>
  <c r="C103" i="1"/>
  <c r="O103" i="1"/>
  <c r="U103" i="1"/>
  <c r="S103" i="1"/>
  <c r="N103" i="1"/>
  <c r="B103" i="1"/>
  <c r="Y103" i="1"/>
  <c r="O102" i="7" l="1"/>
  <c r="P102" i="7"/>
  <c r="Q102" i="7"/>
  <c r="J104" i="7"/>
  <c r="A104" i="1"/>
  <c r="N103" i="7"/>
  <c r="M103" i="7"/>
  <c r="K103" i="7"/>
  <c r="F104" i="1"/>
  <c r="AA104" i="1"/>
  <c r="Y104" i="1"/>
  <c r="V104" i="1"/>
  <c r="S104" i="1"/>
  <c r="U104" i="1"/>
  <c r="C104" i="1"/>
  <c r="L104" i="7"/>
  <c r="B104" i="1"/>
  <c r="Z104" i="1"/>
  <c r="R104" i="1"/>
  <c r="AB104" i="1"/>
  <c r="X104" i="1"/>
  <c r="O104" i="1"/>
  <c r="M104" i="1"/>
  <c r="T104" i="1"/>
  <c r="G104" i="1"/>
  <c r="D104" i="1"/>
  <c r="L104" i="1"/>
  <c r="J104" i="1"/>
  <c r="K104" i="1"/>
  <c r="E104" i="1"/>
  <c r="N104" i="1"/>
  <c r="AC104" i="1"/>
  <c r="W104" i="1"/>
  <c r="I104" i="1"/>
  <c r="Q104" i="1"/>
  <c r="P104" i="1"/>
  <c r="P103" i="7" l="1"/>
  <c r="O103" i="7"/>
  <c r="Q103" i="7"/>
  <c r="J105" i="7"/>
  <c r="A105" i="1"/>
  <c r="M104" i="7"/>
  <c r="K104" i="7"/>
  <c r="F105" i="1"/>
  <c r="AA105" i="1"/>
  <c r="T105" i="1"/>
  <c r="G105" i="1"/>
  <c r="Q105" i="1"/>
  <c r="L105" i="7"/>
  <c r="AC105" i="1"/>
  <c r="E105" i="1"/>
  <c r="W105" i="1"/>
  <c r="N104" i="7"/>
  <c r="J105" i="1"/>
  <c r="O105" i="1"/>
  <c r="M105" i="1"/>
  <c r="K105" i="1"/>
  <c r="I105" i="1"/>
  <c r="L105" i="1"/>
  <c r="V105" i="1"/>
  <c r="U105" i="1"/>
  <c r="C105" i="1"/>
  <c r="R105" i="1"/>
  <c r="B105" i="1"/>
  <c r="Y105" i="1"/>
  <c r="N105" i="1"/>
  <c r="X105" i="1"/>
  <c r="P105" i="1"/>
  <c r="S105" i="1"/>
  <c r="Z105" i="1"/>
  <c r="AB105" i="1"/>
  <c r="D105" i="1"/>
  <c r="O104" i="7" l="1"/>
  <c r="P104" i="7"/>
  <c r="Q104" i="7"/>
  <c r="J106" i="7"/>
  <c r="A106" i="1"/>
  <c r="M105" i="7"/>
  <c r="G106" i="1"/>
  <c r="S106" i="1"/>
  <c r="V106" i="1"/>
  <c r="K105" i="7"/>
  <c r="O106" i="1"/>
  <c r="M106" i="1"/>
  <c r="L106" i="7"/>
  <c r="C106" i="1"/>
  <c r="U106" i="1"/>
  <c r="N106" i="1"/>
  <c r="Q106" i="1"/>
  <c r="N105" i="7"/>
  <c r="P106" i="1"/>
  <c r="L106" i="1"/>
  <c r="AC106" i="1"/>
  <c r="Z106" i="1"/>
  <c r="X106" i="1"/>
  <c r="T106" i="1"/>
  <c r="I106" i="1"/>
  <c r="Y106" i="1"/>
  <c r="R106" i="1"/>
  <c r="AB106" i="1"/>
  <c r="AA106" i="1"/>
  <c r="B106" i="1"/>
  <c r="K106" i="1"/>
  <c r="F106" i="1"/>
  <c r="E106" i="1"/>
  <c r="D106" i="1"/>
  <c r="J106" i="1"/>
  <c r="W106" i="1"/>
  <c r="P105" i="7" l="1"/>
  <c r="O105" i="7"/>
  <c r="Q105" i="7"/>
  <c r="J107" i="7"/>
  <c r="A107" i="1"/>
  <c r="K106" i="7"/>
  <c r="T107" i="1"/>
  <c r="O107" i="1"/>
  <c r="V107" i="1"/>
  <c r="N106" i="7"/>
  <c r="U107" i="1"/>
  <c r="C107" i="1"/>
  <c r="L107" i="7"/>
  <c r="F107" i="1"/>
  <c r="L107" i="1"/>
  <c r="R107" i="1"/>
  <c r="Z107" i="1"/>
  <c r="M106" i="7"/>
  <c r="G107" i="1"/>
  <c r="N107" i="1"/>
  <c r="B107" i="1"/>
  <c r="I107" i="1"/>
  <c r="S107" i="1"/>
  <c r="K107" i="1"/>
  <c r="D107" i="1"/>
  <c r="Y107" i="1"/>
  <c r="AB107" i="1"/>
  <c r="AC107" i="1"/>
  <c r="AA107" i="1"/>
  <c r="Q107" i="1"/>
  <c r="E107" i="1"/>
  <c r="J107" i="1"/>
  <c r="P107" i="1"/>
  <c r="X107" i="1"/>
  <c r="M107" i="1"/>
  <c r="W107" i="1"/>
  <c r="O106" i="7" l="1"/>
  <c r="P106" i="7"/>
  <c r="Q106" i="7"/>
  <c r="J108" i="7"/>
  <c r="A108" i="1"/>
  <c r="N107" i="7"/>
  <c r="W108" i="1"/>
  <c r="J108" i="1"/>
  <c r="O108" i="1"/>
  <c r="M107" i="7"/>
  <c r="U108" i="1"/>
  <c r="R108" i="1"/>
  <c r="B108" i="1"/>
  <c r="L108" i="7"/>
  <c r="P108" i="1"/>
  <c r="AB108" i="1"/>
  <c r="Q108" i="1"/>
  <c r="K107" i="7"/>
  <c r="G108" i="1"/>
  <c r="Z108" i="1"/>
  <c r="Y108" i="1"/>
  <c r="AC108" i="1"/>
  <c r="AA108" i="1"/>
  <c r="T108" i="1"/>
  <c r="K108" i="1"/>
  <c r="I108" i="1"/>
  <c r="F108" i="1"/>
  <c r="E108" i="1"/>
  <c r="D108" i="1"/>
  <c r="C108" i="1"/>
  <c r="L108" i="1"/>
  <c r="S108" i="1"/>
  <c r="N108" i="1"/>
  <c r="V108" i="1"/>
  <c r="M108" i="1"/>
  <c r="X108" i="1"/>
  <c r="O107" i="7" l="1"/>
  <c r="P107" i="7"/>
  <c r="Q107" i="7"/>
  <c r="J109" i="7"/>
  <c r="A109" i="1"/>
  <c r="N108" i="7"/>
  <c r="N109" i="1"/>
  <c r="G109" i="1"/>
  <c r="Y109" i="1"/>
  <c r="R109" i="1"/>
  <c r="B109" i="1"/>
  <c r="L109" i="1"/>
  <c r="M108" i="7"/>
  <c r="U109" i="1"/>
  <c r="I109" i="1"/>
  <c r="Z109" i="1"/>
  <c r="AB109" i="1"/>
  <c r="K108" i="7"/>
  <c r="AC109" i="1"/>
  <c r="AA109" i="1"/>
  <c r="M109" i="1"/>
  <c r="Q109" i="1"/>
  <c r="L109" i="7"/>
  <c r="X109" i="1"/>
  <c r="T109" i="1"/>
  <c r="V109" i="1"/>
  <c r="D109" i="1"/>
  <c r="C109" i="1"/>
  <c r="P109" i="1"/>
  <c r="K109" i="1"/>
  <c r="S109" i="1"/>
  <c r="W109" i="1"/>
  <c r="F109" i="1"/>
  <c r="O109" i="1"/>
  <c r="E109" i="1"/>
  <c r="J109" i="1"/>
  <c r="P108" i="7" l="1"/>
  <c r="O108" i="7"/>
  <c r="Q108" i="7"/>
  <c r="J110" i="7"/>
  <c r="A110" i="1"/>
  <c r="K109" i="7"/>
  <c r="K110" i="1"/>
  <c r="AB110" i="1"/>
  <c r="X110" i="1"/>
  <c r="M109" i="7"/>
  <c r="AC110" i="1"/>
  <c r="AA110" i="1"/>
  <c r="N109" i="7"/>
  <c r="O110" i="1"/>
  <c r="B110" i="1"/>
  <c r="S110" i="1"/>
  <c r="P110" i="1"/>
  <c r="L110" i="7"/>
  <c r="E110" i="1"/>
  <c r="C110" i="1"/>
  <c r="N110" i="1"/>
  <c r="I110" i="1"/>
  <c r="J110" i="1"/>
  <c r="R110" i="1"/>
  <c r="W110" i="1"/>
  <c r="L110" i="1"/>
  <c r="M110" i="1"/>
  <c r="Y110" i="1"/>
  <c r="Z110" i="1"/>
  <c r="V110" i="1"/>
  <c r="U110" i="1"/>
  <c r="T110" i="1"/>
  <c r="G110" i="1"/>
  <c r="Q110" i="1"/>
  <c r="F110" i="1"/>
  <c r="D110" i="1"/>
  <c r="P109" i="7" l="1"/>
  <c r="O109" i="7"/>
  <c r="Q109" i="7"/>
  <c r="J111" i="7"/>
  <c r="A111" i="1"/>
  <c r="K110" i="7"/>
  <c r="AB111" i="1"/>
  <c r="T111" i="1"/>
  <c r="J111" i="1"/>
  <c r="M110" i="7"/>
  <c r="Y111" i="1"/>
  <c r="S111" i="1"/>
  <c r="L111" i="7"/>
  <c r="L111" i="1"/>
  <c r="AC111" i="1"/>
  <c r="W111" i="1"/>
  <c r="R111" i="1"/>
  <c r="N110" i="7"/>
  <c r="I111" i="1"/>
  <c r="X111" i="1"/>
  <c r="B111" i="1"/>
  <c r="N111" i="1"/>
  <c r="K111" i="1"/>
  <c r="Q111" i="1"/>
  <c r="D111" i="1"/>
  <c r="M111" i="1"/>
  <c r="U111" i="1"/>
  <c r="C111" i="1"/>
  <c r="G111" i="1"/>
  <c r="P111" i="1"/>
  <c r="Z111" i="1"/>
  <c r="O111" i="1"/>
  <c r="AA111" i="1"/>
  <c r="V111" i="1"/>
  <c r="E111" i="1"/>
  <c r="F111" i="1"/>
  <c r="P110" i="7" l="1"/>
  <c r="O110" i="7"/>
  <c r="Q110" i="7"/>
  <c r="J112" i="7"/>
  <c r="A112" i="1"/>
  <c r="M111" i="7"/>
  <c r="N112" i="1"/>
  <c r="T112" i="1"/>
  <c r="S112" i="1"/>
  <c r="K111" i="7"/>
  <c r="Y112" i="1"/>
  <c r="J112" i="1"/>
  <c r="X112" i="1"/>
  <c r="N111" i="7"/>
  <c r="L112" i="1"/>
  <c r="AB112" i="1"/>
  <c r="D112" i="1"/>
  <c r="O112" i="1"/>
  <c r="L112" i="7"/>
  <c r="I112" i="1"/>
  <c r="W112" i="1"/>
  <c r="K112" i="1"/>
  <c r="Z112" i="1"/>
  <c r="R112" i="1"/>
  <c r="U112" i="1"/>
  <c r="G112" i="1"/>
  <c r="P112" i="1"/>
  <c r="C112" i="1"/>
  <c r="F112" i="1"/>
  <c r="M112" i="1"/>
  <c r="AC112" i="1"/>
  <c r="Q112" i="1"/>
  <c r="E112" i="1"/>
  <c r="B112" i="1"/>
  <c r="V112" i="1"/>
  <c r="AA112" i="1"/>
  <c r="O111" i="7" l="1"/>
  <c r="P111" i="7"/>
  <c r="Q111" i="7"/>
  <c r="J113" i="7"/>
  <c r="A113" i="1"/>
  <c r="M112" i="7"/>
  <c r="G113" i="1"/>
  <c r="T113" i="1"/>
  <c r="D113" i="1"/>
  <c r="V113" i="1"/>
  <c r="N112" i="7"/>
  <c r="L113" i="1"/>
  <c r="M113" i="1"/>
  <c r="L113" i="7"/>
  <c r="F113" i="1"/>
  <c r="Z113" i="1"/>
  <c r="U113" i="1"/>
  <c r="K112" i="7"/>
  <c r="O113" i="1"/>
  <c r="S113" i="1"/>
  <c r="J113" i="1"/>
  <c r="I113" i="1"/>
  <c r="P113" i="1"/>
  <c r="Q113" i="1"/>
  <c r="Y113" i="1"/>
  <c r="R113" i="1"/>
  <c r="B113" i="1"/>
  <c r="K113" i="1"/>
  <c r="AB113" i="1"/>
  <c r="AA113" i="1"/>
  <c r="E113" i="1"/>
  <c r="N113" i="1"/>
  <c r="X113" i="1"/>
  <c r="W113" i="1"/>
  <c r="C113" i="1"/>
  <c r="AC113" i="1"/>
  <c r="P112" i="7" l="1"/>
  <c r="O112" i="7"/>
  <c r="Q112" i="7"/>
  <c r="J114" i="7"/>
  <c r="A114" i="1"/>
  <c r="K113" i="7"/>
  <c r="D114" i="1"/>
  <c r="T114" i="1"/>
  <c r="E114" i="1"/>
  <c r="M114" i="1"/>
  <c r="M113" i="7"/>
  <c r="X114" i="1"/>
  <c r="W114" i="1"/>
  <c r="L114" i="7"/>
  <c r="Y114" i="1"/>
  <c r="AA114" i="1"/>
  <c r="I114" i="1"/>
  <c r="N113" i="7"/>
  <c r="U114" i="1"/>
  <c r="R114" i="1"/>
  <c r="L114" i="1"/>
  <c r="K114" i="1"/>
  <c r="V114" i="1"/>
  <c r="N114" i="1"/>
  <c r="F114" i="1"/>
  <c r="C114" i="1"/>
  <c r="AC114" i="1"/>
  <c r="P114" i="1"/>
  <c r="B114" i="1"/>
  <c r="Z114" i="1"/>
  <c r="G114" i="1"/>
  <c r="Q114" i="1"/>
  <c r="O114" i="1"/>
  <c r="S114" i="1"/>
  <c r="J114" i="1"/>
  <c r="AB114" i="1"/>
  <c r="P113" i="7" l="1"/>
  <c r="O113" i="7"/>
  <c r="Q113" i="7"/>
  <c r="J115" i="7"/>
  <c r="A115" i="1"/>
  <c r="K114" i="7"/>
  <c r="M115" i="1"/>
  <c r="AC115" i="1"/>
  <c r="P115" i="1"/>
  <c r="N114" i="7"/>
  <c r="AB115" i="1"/>
  <c r="B115" i="1"/>
  <c r="L115" i="7"/>
  <c r="T115" i="1"/>
  <c r="L115" i="1"/>
  <c r="K115" i="1"/>
  <c r="M114" i="7"/>
  <c r="C115" i="1"/>
  <c r="Y115" i="1"/>
  <c r="V115" i="1"/>
  <c r="U115" i="1"/>
  <c r="F115" i="1"/>
  <c r="Z115" i="1"/>
  <c r="E115" i="1"/>
  <c r="R115" i="1"/>
  <c r="O115" i="1"/>
  <c r="S115" i="1"/>
  <c r="W115" i="1"/>
  <c r="I115" i="1"/>
  <c r="X115" i="1"/>
  <c r="J115" i="1"/>
  <c r="G115" i="1"/>
  <c r="Q115" i="1"/>
  <c r="AA115" i="1"/>
  <c r="N115" i="1"/>
  <c r="D115" i="1"/>
  <c r="O114" i="7" l="1"/>
  <c r="P114" i="7"/>
  <c r="Q114" i="7"/>
  <c r="J116" i="7"/>
  <c r="A116" i="1"/>
  <c r="N115" i="7"/>
  <c r="S116" i="1"/>
  <c r="E116" i="1"/>
  <c r="M115" i="7"/>
  <c r="L116" i="1"/>
  <c r="AA116" i="1"/>
  <c r="Y116" i="1"/>
  <c r="L116" i="7"/>
  <c r="N116" i="1"/>
  <c r="C116" i="1"/>
  <c r="F116" i="1"/>
  <c r="K115" i="7"/>
  <c r="I116" i="1"/>
  <c r="K116" i="1"/>
  <c r="Z116" i="1"/>
  <c r="U116" i="1"/>
  <c r="D116" i="1"/>
  <c r="G116" i="1"/>
  <c r="X116" i="1"/>
  <c r="R116" i="1"/>
  <c r="M116" i="1"/>
  <c r="W116" i="1"/>
  <c r="P116" i="1"/>
  <c r="AB116" i="1"/>
  <c r="AC116" i="1"/>
  <c r="T116" i="1"/>
  <c r="B116" i="1"/>
  <c r="V116" i="1"/>
  <c r="Q116" i="1"/>
  <c r="J116" i="1"/>
  <c r="O116" i="1"/>
  <c r="O115" i="7" l="1"/>
  <c r="P115" i="7"/>
  <c r="Q115" i="7"/>
  <c r="J117" i="7"/>
  <c r="A117" i="1"/>
  <c r="K116" i="7"/>
  <c r="L117" i="1"/>
  <c r="E117" i="1"/>
  <c r="V117" i="1"/>
  <c r="Y117" i="1"/>
  <c r="N116" i="7"/>
  <c r="P117" i="1"/>
  <c r="M117" i="1"/>
  <c r="W117" i="1"/>
  <c r="L117" i="7"/>
  <c r="J117" i="1"/>
  <c r="D117" i="1"/>
  <c r="K117" i="1"/>
  <c r="Z117" i="1"/>
  <c r="M116" i="7"/>
  <c r="R117" i="1"/>
  <c r="X117" i="1"/>
  <c r="T117" i="1"/>
  <c r="AB117" i="1"/>
  <c r="B117" i="1"/>
  <c r="AA117" i="1"/>
  <c r="F117" i="1"/>
  <c r="C117" i="1"/>
  <c r="AC117" i="1"/>
  <c r="U117" i="1"/>
  <c r="I117" i="1"/>
  <c r="O117" i="1"/>
  <c r="G117" i="1"/>
  <c r="S117" i="1"/>
  <c r="N117" i="1"/>
  <c r="Q117" i="1"/>
  <c r="O116" i="7" l="1"/>
  <c r="P116" i="7"/>
  <c r="Q116" i="7"/>
  <c r="J118" i="7"/>
  <c r="A118" i="1"/>
  <c r="N117" i="7"/>
  <c r="M118" i="1"/>
  <c r="G118" i="1"/>
  <c r="K118" i="1"/>
  <c r="K117" i="7"/>
  <c r="C118" i="1"/>
  <c r="R118" i="1"/>
  <c r="E118" i="1"/>
  <c r="L118" i="7"/>
  <c r="O118" i="1"/>
  <c r="L118" i="1"/>
  <c r="AC118" i="1"/>
  <c r="I118" i="1"/>
  <c r="M117" i="7"/>
  <c r="W118" i="1"/>
  <c r="T118" i="1"/>
  <c r="V118" i="1"/>
  <c r="J118" i="1"/>
  <c r="N118" i="1"/>
  <c r="B118" i="1"/>
  <c r="AB118" i="1"/>
  <c r="F118" i="1"/>
  <c r="AA118" i="1"/>
  <c r="P118" i="1"/>
  <c r="S118" i="1"/>
  <c r="Y118" i="1"/>
  <c r="X118" i="1"/>
  <c r="Z118" i="1"/>
  <c r="U118" i="1"/>
  <c r="D118" i="1"/>
  <c r="Q118" i="1"/>
  <c r="O117" i="7" l="1"/>
  <c r="P117" i="7"/>
  <c r="Q117" i="7"/>
  <c r="J119" i="7"/>
  <c r="A119" i="1"/>
  <c r="N118" i="7"/>
  <c r="U119" i="1"/>
  <c r="V119" i="1"/>
  <c r="J119" i="1"/>
  <c r="K118" i="7"/>
  <c r="AB119" i="1"/>
  <c r="L119" i="1"/>
  <c r="W119" i="1"/>
  <c r="M118" i="7"/>
  <c r="G119" i="1"/>
  <c r="Z119" i="1"/>
  <c r="AC119" i="1"/>
  <c r="O119" i="1"/>
  <c r="L119" i="7"/>
  <c r="S119" i="1"/>
  <c r="R119" i="1"/>
  <c r="X119" i="1"/>
  <c r="E119" i="1"/>
  <c r="P119" i="1"/>
  <c r="T119" i="1"/>
  <c r="I119" i="1"/>
  <c r="Q119" i="1"/>
  <c r="B119" i="1"/>
  <c r="N119" i="1"/>
  <c r="K119" i="1"/>
  <c r="D119" i="1"/>
  <c r="C119" i="1"/>
  <c r="AA119" i="1"/>
  <c r="M119" i="1"/>
  <c r="Y119" i="1"/>
  <c r="F119" i="1"/>
  <c r="P118" i="7" l="1"/>
  <c r="O118" i="7"/>
  <c r="Q118" i="7"/>
  <c r="J120" i="7"/>
  <c r="A120" i="1"/>
  <c r="L120" i="7"/>
  <c r="AA120" i="1"/>
  <c r="F120" i="1"/>
  <c r="R120" i="1"/>
  <c r="K119" i="7"/>
  <c r="V120" i="1"/>
  <c r="C120" i="1"/>
  <c r="N119" i="7"/>
  <c r="J120" i="1"/>
  <c r="D120" i="1"/>
  <c r="K120" i="1"/>
  <c r="U120" i="1"/>
  <c r="M119" i="7"/>
  <c r="AB120" i="1"/>
  <c r="Q120" i="1"/>
  <c r="Y120" i="1"/>
  <c r="L120" i="1"/>
  <c r="W120" i="1"/>
  <c r="Z120" i="1"/>
  <c r="P120" i="1"/>
  <c r="O120" i="1"/>
  <c r="S120" i="1"/>
  <c r="N120" i="1"/>
  <c r="T120" i="1"/>
  <c r="E120" i="1"/>
  <c r="M120" i="1"/>
  <c r="G120" i="1"/>
  <c r="AC120" i="1"/>
  <c r="X120" i="1"/>
  <c r="B120" i="1"/>
  <c r="I120" i="1"/>
  <c r="P119" i="7" l="1"/>
  <c r="O119" i="7"/>
  <c r="Q119" i="7"/>
  <c r="J121" i="7"/>
  <c r="A121" i="1"/>
  <c r="L121" i="7"/>
  <c r="M120" i="7"/>
  <c r="N120" i="7"/>
  <c r="D121" i="1"/>
  <c r="C121" i="1"/>
  <c r="AB121" i="1"/>
  <c r="AA121" i="1"/>
  <c r="N121" i="1"/>
  <c r="K121" i="1"/>
  <c r="J121" i="1"/>
  <c r="R121" i="1"/>
  <c r="M121" i="1"/>
  <c r="P121" i="1"/>
  <c r="E121" i="1"/>
  <c r="B121" i="1"/>
  <c r="Z121" i="1"/>
  <c r="K120" i="7"/>
  <c r="AC121" i="1"/>
  <c r="F121" i="1"/>
  <c r="L121" i="1"/>
  <c r="W121" i="1"/>
  <c r="V121" i="1"/>
  <c r="G121" i="1"/>
  <c r="Q121" i="1"/>
  <c r="Y121" i="1"/>
  <c r="S121" i="1"/>
  <c r="O121" i="1"/>
  <c r="U121" i="1"/>
  <c r="X121" i="1"/>
  <c r="I121" i="1"/>
  <c r="T121" i="1"/>
  <c r="O120" i="7" l="1"/>
  <c r="P120" i="7"/>
  <c r="Q120" i="7"/>
  <c r="J122" i="7"/>
  <c r="A122" i="1"/>
  <c r="L122" i="7"/>
  <c r="E122" i="1"/>
  <c r="W122" i="1"/>
  <c r="I122" i="1"/>
  <c r="K121" i="7"/>
  <c r="B122" i="1"/>
  <c r="J122" i="1"/>
  <c r="K122" i="1"/>
  <c r="N121" i="7"/>
  <c r="Z122" i="1"/>
  <c r="G122" i="1"/>
  <c r="T122" i="1"/>
  <c r="U122" i="1"/>
  <c r="M121" i="7"/>
  <c r="Q122" i="1"/>
  <c r="AB122" i="1"/>
  <c r="V122" i="1"/>
  <c r="L122" i="1"/>
  <c r="N122" i="1"/>
  <c r="AA122" i="1"/>
  <c r="F122" i="1"/>
  <c r="C122" i="1"/>
  <c r="O122" i="1"/>
  <c r="R122" i="1"/>
  <c r="P122" i="1"/>
  <c r="X122" i="1"/>
  <c r="M122" i="1"/>
  <c r="Y122" i="1"/>
  <c r="D122" i="1"/>
  <c r="AC122" i="1"/>
  <c r="S122" i="1"/>
  <c r="O121" i="7" l="1"/>
  <c r="P121" i="7"/>
  <c r="Q121" i="7"/>
  <c r="J123" i="7"/>
  <c r="A123" i="1"/>
  <c r="L123" i="7"/>
  <c r="Y123" i="1"/>
  <c r="N123" i="1"/>
  <c r="M122" i="7"/>
  <c r="I123" i="1"/>
  <c r="K122" i="7"/>
  <c r="C123" i="1"/>
  <c r="P123" i="1"/>
  <c r="X123" i="1"/>
  <c r="N122" i="7"/>
  <c r="Q123" i="1"/>
  <c r="F123" i="1"/>
  <c r="S123" i="1"/>
  <c r="T123" i="1"/>
  <c r="L123" i="1"/>
  <c r="J123" i="1"/>
  <c r="M123" i="1"/>
  <c r="Z123" i="1"/>
  <c r="W123" i="1"/>
  <c r="AC123" i="1"/>
  <c r="G123" i="1"/>
  <c r="B123" i="1"/>
  <c r="D123" i="1"/>
  <c r="K123" i="1"/>
  <c r="E123" i="1"/>
  <c r="R123" i="1"/>
  <c r="AB123" i="1"/>
  <c r="AA123" i="1"/>
  <c r="V123" i="1"/>
  <c r="U123" i="1"/>
  <c r="O123" i="1"/>
  <c r="O122" i="7" l="1"/>
  <c r="P122" i="7"/>
  <c r="Q122" i="7"/>
  <c r="J124" i="7"/>
  <c r="A124" i="1"/>
  <c r="L124" i="7"/>
  <c r="D124" i="1"/>
  <c r="U124" i="1"/>
  <c r="K123" i="7"/>
  <c r="N124" i="1"/>
  <c r="T124" i="1"/>
  <c r="M123" i="7"/>
  <c r="Q124" i="1"/>
  <c r="S124" i="1"/>
  <c r="AA124" i="1"/>
  <c r="N123" i="7"/>
  <c r="V124" i="1"/>
  <c r="Z124" i="1"/>
  <c r="W124" i="1"/>
  <c r="C124" i="1"/>
  <c r="R124" i="1"/>
  <c r="P124" i="1"/>
  <c r="O124" i="1"/>
  <c r="Y124" i="1"/>
  <c r="AB124" i="1"/>
  <c r="I124" i="1"/>
  <c r="AC124" i="1"/>
  <c r="K124" i="1"/>
  <c r="M124" i="1"/>
  <c r="B124" i="1"/>
  <c r="L124" i="1"/>
  <c r="F124" i="1"/>
  <c r="G124" i="1"/>
  <c r="E124" i="1"/>
  <c r="J124" i="1"/>
  <c r="X124" i="1"/>
  <c r="P123" i="7" l="1"/>
  <c r="O123" i="7"/>
  <c r="Q123" i="7"/>
  <c r="J125" i="7"/>
  <c r="A125" i="1"/>
  <c r="L125" i="7"/>
  <c r="X125" i="1"/>
  <c r="Y125" i="1"/>
  <c r="R125" i="1"/>
  <c r="N124" i="7"/>
  <c r="G125" i="1"/>
  <c r="K124" i="7"/>
  <c r="S125" i="1"/>
  <c r="T125" i="1"/>
  <c r="M124" i="7"/>
  <c r="AA125" i="1"/>
  <c r="AB125" i="1"/>
  <c r="B125" i="1"/>
  <c r="W125" i="1"/>
  <c r="J125" i="1"/>
  <c r="L125" i="1"/>
  <c r="I125" i="1"/>
  <c r="E125" i="1"/>
  <c r="P125" i="1"/>
  <c r="U125" i="1"/>
  <c r="O125" i="1"/>
  <c r="Q125" i="1"/>
  <c r="C125" i="1"/>
  <c r="M125" i="1"/>
  <c r="F125" i="1"/>
  <c r="AC125" i="1"/>
  <c r="K125" i="1"/>
  <c r="V125" i="1"/>
  <c r="D125" i="1"/>
  <c r="N125" i="1"/>
  <c r="Z125" i="1"/>
  <c r="P124" i="7" l="1"/>
  <c r="O124" i="7"/>
  <c r="Q124" i="7"/>
  <c r="J126" i="7"/>
  <c r="A126" i="1"/>
  <c r="L126" i="7"/>
  <c r="B126" i="1"/>
  <c r="AB126" i="1"/>
  <c r="AA126" i="1"/>
  <c r="N125" i="7"/>
  <c r="X126" i="1"/>
  <c r="U126" i="1"/>
  <c r="M125" i="7"/>
  <c r="V126" i="1"/>
  <c r="G126" i="1"/>
  <c r="N126" i="1"/>
  <c r="K125" i="7"/>
  <c r="Z126" i="1"/>
  <c r="AC126" i="1"/>
  <c r="Q126" i="1"/>
  <c r="M126" i="1"/>
  <c r="C126" i="1"/>
  <c r="R126" i="1"/>
  <c r="D126" i="1"/>
  <c r="T126" i="1"/>
  <c r="P126" i="1"/>
  <c r="J126" i="1"/>
  <c r="W126" i="1"/>
  <c r="Y126" i="1"/>
  <c r="F126" i="1"/>
  <c r="L126" i="1"/>
  <c r="K126" i="1"/>
  <c r="S126" i="1"/>
  <c r="O126" i="1"/>
  <c r="E126" i="1"/>
  <c r="I126" i="1"/>
  <c r="P125" i="7" l="1"/>
  <c r="O125" i="7"/>
  <c r="Q125" i="7"/>
  <c r="J127" i="7"/>
  <c r="A127" i="1"/>
  <c r="L127" i="7"/>
  <c r="I127" i="1"/>
  <c r="U127" i="1"/>
  <c r="K127" i="1"/>
  <c r="M126" i="7"/>
  <c r="L127" i="1"/>
  <c r="T127" i="1"/>
  <c r="K126" i="7"/>
  <c r="B127" i="1"/>
  <c r="AC127" i="1"/>
  <c r="X127" i="1"/>
  <c r="N126" i="7"/>
  <c r="G127" i="1"/>
  <c r="O127" i="1"/>
  <c r="F127" i="1"/>
  <c r="P127" i="1"/>
  <c r="E127" i="1"/>
  <c r="AB127" i="1"/>
  <c r="AA127" i="1"/>
  <c r="M127" i="1"/>
  <c r="J127" i="1"/>
  <c r="C127" i="1"/>
  <c r="Z127" i="1"/>
  <c r="Y127" i="1"/>
  <c r="Q127" i="1"/>
  <c r="R127" i="1"/>
  <c r="W127" i="1"/>
  <c r="V127" i="1"/>
  <c r="D127" i="1"/>
  <c r="S127" i="1"/>
  <c r="N127" i="1"/>
  <c r="P126" i="7" l="1"/>
  <c r="O126" i="7"/>
  <c r="Q126" i="7"/>
  <c r="J128" i="7"/>
  <c r="A128" i="1"/>
  <c r="L128" i="7"/>
  <c r="J128" i="1"/>
  <c r="G128" i="1"/>
  <c r="P128" i="1"/>
  <c r="M127" i="7"/>
  <c r="L128" i="1"/>
  <c r="K127" i="7"/>
  <c r="AC128" i="1"/>
  <c r="F128" i="1"/>
  <c r="AA128" i="1"/>
  <c r="N127" i="7"/>
  <c r="X128" i="1"/>
  <c r="T128" i="1"/>
  <c r="K128" i="1"/>
  <c r="D128" i="1"/>
  <c r="B128" i="1"/>
  <c r="N128" i="1"/>
  <c r="M128" i="1"/>
  <c r="Z128" i="1"/>
  <c r="AB128" i="1"/>
  <c r="I128" i="1"/>
  <c r="E128" i="1"/>
  <c r="C128" i="1"/>
  <c r="R128" i="1"/>
  <c r="Y128" i="1"/>
  <c r="O128" i="1"/>
  <c r="V128" i="1"/>
  <c r="W128" i="1"/>
  <c r="Q128" i="1"/>
  <c r="U128" i="1"/>
  <c r="S128" i="1"/>
  <c r="O127" i="7" l="1"/>
  <c r="P127" i="7"/>
  <c r="Q127" i="7"/>
  <c r="J129" i="7"/>
  <c r="A129" i="1"/>
  <c r="L129" i="7"/>
  <c r="C129" i="1"/>
  <c r="M129" i="1"/>
  <c r="M128" i="7"/>
  <c r="R129" i="1"/>
  <c r="F129" i="1"/>
  <c r="N128" i="7"/>
  <c r="K129" i="1"/>
  <c r="T129" i="1"/>
  <c r="B129" i="1"/>
  <c r="K128" i="7"/>
  <c r="P129" i="1"/>
  <c r="G129" i="1"/>
  <c r="J129" i="1"/>
  <c r="Q129" i="1"/>
  <c r="L129" i="1"/>
  <c r="AC129" i="1"/>
  <c r="D129" i="1"/>
  <c r="AA129" i="1"/>
  <c r="E129" i="1"/>
  <c r="N129" i="1"/>
  <c r="Y129" i="1"/>
  <c r="I129" i="1"/>
  <c r="X129" i="1"/>
  <c r="AB129" i="1"/>
  <c r="U129" i="1"/>
  <c r="S129" i="1"/>
  <c r="O129" i="1"/>
  <c r="V129" i="1"/>
  <c r="Z129" i="1"/>
  <c r="W129" i="1"/>
  <c r="O128" i="7" l="1"/>
  <c r="P128" i="7"/>
  <c r="Q128" i="7"/>
  <c r="J130" i="7"/>
  <c r="A130" i="1"/>
  <c r="L130" i="7"/>
  <c r="I130" i="1"/>
  <c r="N129" i="7"/>
  <c r="Y130" i="1"/>
  <c r="K129" i="7"/>
  <c r="O130" i="1"/>
  <c r="F130" i="1"/>
  <c r="C130" i="1"/>
  <c r="M129" i="7"/>
  <c r="R130" i="1"/>
  <c r="G130" i="1"/>
  <c r="S130" i="1"/>
  <c r="L130" i="1"/>
  <c r="T130" i="1"/>
  <c r="M130" i="1"/>
  <c r="W130" i="1"/>
  <c r="Z130" i="1"/>
  <c r="N130" i="1"/>
  <c r="X130" i="1"/>
  <c r="AA130" i="1"/>
  <c r="U130" i="1"/>
  <c r="Q130" i="1"/>
  <c r="E130" i="1"/>
  <c r="V130" i="1"/>
  <c r="B130" i="1"/>
  <c r="AC130" i="1"/>
  <c r="K130" i="1"/>
  <c r="P130" i="1"/>
  <c r="AB130" i="1"/>
  <c r="D130" i="1"/>
  <c r="J130" i="1"/>
  <c r="O129" i="7" l="1"/>
  <c r="P129" i="7"/>
  <c r="Q129" i="7"/>
  <c r="J131" i="7"/>
  <c r="A131" i="1"/>
  <c r="L131" i="7"/>
  <c r="Z131" i="1"/>
  <c r="K131" i="1"/>
  <c r="M130" i="7"/>
  <c r="AA131" i="1"/>
  <c r="T131" i="1"/>
  <c r="N130" i="7"/>
  <c r="X131" i="1"/>
  <c r="G131" i="1"/>
  <c r="U131" i="1"/>
  <c r="K130" i="7"/>
  <c r="I131" i="1"/>
  <c r="V131" i="1"/>
  <c r="D131" i="1"/>
  <c r="Y131" i="1"/>
  <c r="AB131" i="1"/>
  <c r="E131" i="1"/>
  <c r="B131" i="1"/>
  <c r="Q131" i="1"/>
  <c r="W131" i="1"/>
  <c r="R131" i="1"/>
  <c r="N131" i="1"/>
  <c r="L131" i="1"/>
  <c r="M131" i="1"/>
  <c r="AC131" i="1"/>
  <c r="C131" i="1"/>
  <c r="O131" i="1"/>
  <c r="J131" i="1"/>
  <c r="P131" i="1"/>
  <c r="F131" i="1"/>
  <c r="S131" i="1"/>
  <c r="O130" i="7" l="1"/>
  <c r="P130" i="7"/>
  <c r="Q130" i="7"/>
  <c r="J132" i="7"/>
  <c r="A132" i="1"/>
  <c r="L132" i="7"/>
  <c r="U132" i="1"/>
  <c r="N132" i="1"/>
  <c r="N131" i="7"/>
  <c r="C132" i="1"/>
  <c r="V132" i="1"/>
  <c r="M131" i="7"/>
  <c r="G132" i="1"/>
  <c r="L132" i="1"/>
  <c r="F132" i="1"/>
  <c r="K131" i="7"/>
  <c r="E132" i="1"/>
  <c r="D132" i="1"/>
  <c r="O132" i="1"/>
  <c r="B132" i="1"/>
  <c r="I132" i="1"/>
  <c r="M132" i="1"/>
  <c r="AA132" i="1"/>
  <c r="K132" i="1"/>
  <c r="T132" i="1"/>
  <c r="R132" i="1"/>
  <c r="S132" i="1"/>
  <c r="Y132" i="1"/>
  <c r="Z132" i="1"/>
  <c r="AB132" i="1"/>
  <c r="AC132" i="1"/>
  <c r="P132" i="1"/>
  <c r="J132" i="1"/>
  <c r="X132" i="1"/>
  <c r="Q132" i="1"/>
  <c r="W132" i="1"/>
  <c r="P131" i="7" l="1"/>
  <c r="O131" i="7"/>
  <c r="Q131" i="7"/>
  <c r="J133" i="7"/>
  <c r="A133" i="1"/>
  <c r="L133" i="7"/>
  <c r="AC133" i="1"/>
  <c r="AA133" i="1"/>
  <c r="M132" i="7"/>
  <c r="J133" i="1"/>
  <c r="N132" i="7"/>
  <c r="M133" i="1"/>
  <c r="E133" i="1"/>
  <c r="S133" i="1"/>
  <c r="K132" i="7"/>
  <c r="F133" i="1"/>
  <c r="AB133" i="1"/>
  <c r="N133" i="1"/>
  <c r="R133" i="1"/>
  <c r="I133" i="1"/>
  <c r="B133" i="1"/>
  <c r="G133" i="1"/>
  <c r="U133" i="1"/>
  <c r="W133" i="1"/>
  <c r="Z133" i="1"/>
  <c r="V133" i="1"/>
  <c r="X133" i="1"/>
  <c r="P133" i="1"/>
  <c r="Q133" i="1"/>
  <c r="Y133" i="1"/>
  <c r="T133" i="1"/>
  <c r="O133" i="1"/>
  <c r="D133" i="1"/>
  <c r="L133" i="1"/>
  <c r="K133" i="1"/>
  <c r="C133" i="1"/>
  <c r="O132" i="7" l="1"/>
  <c r="P132" i="7"/>
  <c r="Q132" i="7"/>
  <c r="J134" i="7"/>
  <c r="A134" i="1"/>
  <c r="L134" i="7"/>
  <c r="AC134" i="1"/>
  <c r="K134" i="1"/>
  <c r="M133" i="7"/>
  <c r="R134" i="1"/>
  <c r="K133" i="7"/>
  <c r="E134" i="1"/>
  <c r="M134" i="1"/>
  <c r="Q134" i="1"/>
  <c r="N133" i="7"/>
  <c r="T134" i="1"/>
  <c r="L134" i="1"/>
  <c r="S134" i="1"/>
  <c r="U134" i="1"/>
  <c r="O134" i="1"/>
  <c r="J134" i="1"/>
  <c r="G134" i="1"/>
  <c r="Y134" i="1"/>
  <c r="I134" i="1"/>
  <c r="B134" i="1"/>
  <c r="P134" i="1"/>
  <c r="F134" i="1"/>
  <c r="Z134" i="1"/>
  <c r="N134" i="1"/>
  <c r="C134" i="1"/>
  <c r="V134" i="1"/>
  <c r="D134" i="1"/>
  <c r="AB134" i="1"/>
  <c r="W134" i="1"/>
  <c r="AA134" i="1"/>
  <c r="X134" i="1"/>
  <c r="P133" i="7" l="1"/>
  <c r="O133" i="7"/>
  <c r="Q133" i="7"/>
  <c r="J135" i="7"/>
  <c r="A135" i="1"/>
  <c r="L135" i="7"/>
  <c r="M135" i="1"/>
  <c r="R135" i="1"/>
  <c r="K134" i="7"/>
  <c r="K135" i="1"/>
  <c r="M134" i="7"/>
  <c r="G135" i="1"/>
  <c r="D135" i="1"/>
  <c r="F135" i="1"/>
  <c r="N134" i="7"/>
  <c r="AC135" i="1"/>
  <c r="V135" i="1"/>
  <c r="I135" i="1"/>
  <c r="E135" i="1"/>
  <c r="S135" i="1"/>
  <c r="T135" i="1"/>
  <c r="C135" i="1"/>
  <c r="AA135" i="1"/>
  <c r="L135" i="1"/>
  <c r="Z135" i="1"/>
  <c r="P135" i="1"/>
  <c r="O135" i="1"/>
  <c r="U135" i="1"/>
  <c r="X135" i="1"/>
  <c r="N135" i="1"/>
  <c r="Q135" i="1"/>
  <c r="W135" i="1"/>
  <c r="AB135" i="1"/>
  <c r="Y135" i="1"/>
  <c r="J135" i="1"/>
  <c r="B135" i="1"/>
  <c r="P134" i="7" l="1"/>
  <c r="O134" i="7"/>
  <c r="Q134" i="7"/>
  <c r="J136" i="7"/>
  <c r="A136" i="1"/>
  <c r="L136" i="7"/>
  <c r="Q136" i="1"/>
  <c r="T136" i="1"/>
  <c r="N135" i="7"/>
  <c r="J136" i="1"/>
  <c r="K136" i="1"/>
  <c r="M135" i="7"/>
  <c r="G136" i="1"/>
  <c r="F136" i="1"/>
  <c r="D136" i="1"/>
  <c r="K135" i="7"/>
  <c r="W136" i="1"/>
  <c r="L136" i="1"/>
  <c r="O136" i="1"/>
  <c r="B136" i="1"/>
  <c r="V136" i="1"/>
  <c r="AB136" i="1"/>
  <c r="R136" i="1"/>
  <c r="S136" i="1"/>
  <c r="P136" i="1"/>
  <c r="Y136" i="1"/>
  <c r="U136" i="1"/>
  <c r="I136" i="1"/>
  <c r="C136" i="1"/>
  <c r="E136" i="1"/>
  <c r="Z136" i="1"/>
  <c r="N136" i="1"/>
  <c r="X136" i="1"/>
  <c r="AC136" i="1"/>
  <c r="M136" i="1"/>
  <c r="AA136" i="1"/>
  <c r="P135" i="7" l="1"/>
  <c r="O135" i="7"/>
  <c r="Q135" i="7"/>
  <c r="J137" i="7"/>
  <c r="A137" i="1"/>
  <c r="L137" i="7"/>
  <c r="G137" i="1"/>
  <c r="W137" i="1"/>
  <c r="M136" i="7"/>
  <c r="P137" i="1"/>
  <c r="T137" i="1"/>
  <c r="K136" i="7"/>
  <c r="L137" i="1"/>
  <c r="J137" i="1"/>
  <c r="Z137" i="1"/>
  <c r="N136" i="7"/>
  <c r="B137" i="1"/>
  <c r="M137" i="1"/>
  <c r="AA137" i="1"/>
  <c r="AC137" i="1"/>
  <c r="N137" i="1"/>
  <c r="E137" i="1"/>
  <c r="Y137" i="1"/>
  <c r="I137" i="1"/>
  <c r="D137" i="1"/>
  <c r="Q137" i="1"/>
  <c r="O137" i="1"/>
  <c r="X137" i="1"/>
  <c r="U137" i="1"/>
  <c r="C137" i="1"/>
  <c r="AB137" i="1"/>
  <c r="K137" i="1"/>
  <c r="F137" i="1"/>
  <c r="S137" i="1"/>
  <c r="V137" i="1"/>
  <c r="R137" i="1"/>
  <c r="P136" i="7" l="1"/>
  <c r="O136" i="7"/>
  <c r="Q136" i="7"/>
  <c r="J138" i="7"/>
  <c r="A138" i="1"/>
  <c r="N137" i="7"/>
  <c r="W138" i="1"/>
  <c r="I138" i="1"/>
  <c r="Q138" i="1"/>
  <c r="L138" i="7"/>
  <c r="K138" i="1"/>
  <c r="M137" i="7"/>
  <c r="B138" i="1"/>
  <c r="G138" i="1"/>
  <c r="P138" i="1"/>
  <c r="K137" i="7"/>
  <c r="F138" i="1"/>
  <c r="AB138" i="1"/>
  <c r="R138" i="1"/>
  <c r="S138" i="1"/>
  <c r="E138" i="1"/>
  <c r="U138" i="1"/>
  <c r="AC138" i="1"/>
  <c r="J138" i="1"/>
  <c r="Y138" i="1"/>
  <c r="D138" i="1"/>
  <c r="V138" i="1"/>
  <c r="AA138" i="1"/>
  <c r="O138" i="1"/>
  <c r="Z138" i="1"/>
  <c r="M138" i="1"/>
  <c r="X138" i="1"/>
  <c r="T138" i="1"/>
  <c r="N138" i="1"/>
  <c r="L138" i="1"/>
  <c r="C138" i="1"/>
  <c r="O137" i="7" l="1"/>
  <c r="P137" i="7"/>
  <c r="Q137" i="7"/>
  <c r="J139" i="7"/>
  <c r="A139" i="1"/>
  <c r="M138" i="7"/>
  <c r="AC139" i="1"/>
  <c r="O139" i="1"/>
  <c r="N138" i="7"/>
  <c r="K139" i="1"/>
  <c r="E139" i="1"/>
  <c r="K138" i="7"/>
  <c r="AA139" i="1"/>
  <c r="P139" i="1"/>
  <c r="U139" i="1"/>
  <c r="L139" i="7"/>
  <c r="S139" i="1"/>
  <c r="J139" i="1"/>
  <c r="T139" i="1"/>
  <c r="Q139" i="1"/>
  <c r="M139" i="1"/>
  <c r="F139" i="1"/>
  <c r="Z139" i="1"/>
  <c r="I139" i="1"/>
  <c r="B139" i="1"/>
  <c r="G139" i="1"/>
  <c r="C139" i="1"/>
  <c r="V139" i="1"/>
  <c r="L139" i="1"/>
  <c r="Y139" i="1"/>
  <c r="R139" i="1"/>
  <c r="AB139" i="1"/>
  <c r="N139" i="1"/>
  <c r="W139" i="1"/>
  <c r="D139" i="1"/>
  <c r="X139" i="1"/>
  <c r="O138" i="7" l="1"/>
  <c r="P138" i="7"/>
  <c r="Q138" i="7"/>
  <c r="J140" i="7"/>
  <c r="A140" i="1"/>
  <c r="L140" i="7"/>
  <c r="W140" i="1"/>
  <c r="U140" i="1"/>
  <c r="M139" i="7"/>
  <c r="O140" i="1"/>
  <c r="I140" i="1"/>
  <c r="N139" i="7"/>
  <c r="F140" i="1"/>
  <c r="V140" i="1"/>
  <c r="AA140" i="1"/>
  <c r="K139" i="7"/>
  <c r="R140" i="1"/>
  <c r="G140" i="1"/>
  <c r="K140" i="1"/>
  <c r="S140" i="1"/>
  <c r="D140" i="1"/>
  <c r="T140" i="1"/>
  <c r="E140" i="1"/>
  <c r="M140" i="1"/>
  <c r="J140" i="1"/>
  <c r="B140" i="1"/>
  <c r="Z140" i="1"/>
  <c r="AB140" i="1"/>
  <c r="Y140" i="1"/>
  <c r="P140" i="1"/>
  <c r="N140" i="1"/>
  <c r="L140" i="1"/>
  <c r="Q140" i="1"/>
  <c r="AC140" i="1"/>
  <c r="C140" i="1"/>
  <c r="X140" i="1"/>
  <c r="O139" i="7" l="1"/>
  <c r="P139" i="7"/>
  <c r="Q139" i="7"/>
  <c r="J141" i="7"/>
  <c r="A141" i="1"/>
  <c r="L141" i="7"/>
  <c r="M140" i="7"/>
  <c r="R141" i="1"/>
  <c r="O141" i="1"/>
  <c r="J141" i="1"/>
  <c r="N141" i="1"/>
  <c r="N140" i="7"/>
  <c r="AB141" i="1"/>
  <c r="F141" i="1"/>
  <c r="K140" i="7"/>
  <c r="T141" i="1"/>
  <c r="Q141" i="1"/>
  <c r="I141" i="1"/>
  <c r="Z141" i="1"/>
  <c r="Y141" i="1"/>
  <c r="B141" i="1"/>
  <c r="G141" i="1"/>
  <c r="M141" i="1"/>
  <c r="U141" i="1"/>
  <c r="AC141" i="1"/>
  <c r="W141" i="1"/>
  <c r="S141" i="1"/>
  <c r="K141" i="1"/>
  <c r="AA141" i="1"/>
  <c r="D141" i="1"/>
  <c r="C141" i="1"/>
  <c r="L141" i="1"/>
  <c r="X141" i="1"/>
  <c r="V141" i="1"/>
  <c r="E141" i="1"/>
  <c r="P141" i="1"/>
  <c r="O140" i="7" l="1"/>
  <c r="P140" i="7"/>
  <c r="Q140" i="7"/>
  <c r="J142" i="7"/>
  <c r="A142" i="1"/>
  <c r="L142" i="7"/>
  <c r="F142" i="1"/>
  <c r="M141" i="7"/>
  <c r="M142" i="1"/>
  <c r="K141" i="7"/>
  <c r="J142" i="1"/>
  <c r="U142" i="1"/>
  <c r="G142" i="1"/>
  <c r="V142" i="1"/>
  <c r="W142" i="1"/>
  <c r="N141" i="7"/>
  <c r="I142" i="1"/>
  <c r="D142" i="1"/>
  <c r="E142" i="1"/>
  <c r="C142" i="1"/>
  <c r="P142" i="1"/>
  <c r="AB142" i="1"/>
  <c r="L142" i="1"/>
  <c r="AA142" i="1"/>
  <c r="T142" i="1"/>
  <c r="R142" i="1"/>
  <c r="AC142" i="1"/>
  <c r="O142" i="1"/>
  <c r="B142" i="1"/>
  <c r="K142" i="1"/>
  <c r="Z142" i="1"/>
  <c r="Y142" i="1"/>
  <c r="N142" i="1"/>
  <c r="Q142" i="1"/>
  <c r="S142" i="1"/>
  <c r="X142" i="1"/>
  <c r="P141" i="7" l="1"/>
  <c r="O141" i="7"/>
  <c r="Q141" i="7"/>
  <c r="J143" i="7"/>
  <c r="A143" i="1"/>
  <c r="L143" i="7"/>
  <c r="V143" i="1"/>
  <c r="U143" i="1"/>
  <c r="L143" i="1"/>
  <c r="M142" i="7"/>
  <c r="G143" i="1"/>
  <c r="AA143" i="1"/>
  <c r="N142" i="7"/>
  <c r="D143" i="1"/>
  <c r="Y143" i="1"/>
  <c r="K142" i="7"/>
  <c r="P143" i="1"/>
  <c r="B143" i="1"/>
  <c r="AB143" i="1"/>
  <c r="Q143" i="1"/>
  <c r="R143" i="1"/>
  <c r="Z143" i="1"/>
  <c r="J143" i="1"/>
  <c r="C143" i="1"/>
  <c r="I143" i="1"/>
  <c r="E143" i="1"/>
  <c r="T143" i="1"/>
  <c r="W143" i="1"/>
  <c r="F143" i="1"/>
  <c r="M143" i="1"/>
  <c r="S143" i="1"/>
  <c r="O143" i="1"/>
  <c r="X143" i="1"/>
  <c r="K143" i="1"/>
  <c r="N143" i="1"/>
  <c r="AC143" i="1"/>
  <c r="O142" i="7" l="1"/>
  <c r="P142" i="7"/>
  <c r="Q142" i="7"/>
  <c r="J144" i="7"/>
  <c r="A144" i="1"/>
  <c r="L144" i="7"/>
  <c r="AA144" i="1"/>
  <c r="J144" i="1"/>
  <c r="N143" i="7"/>
  <c r="L144" i="1"/>
  <c r="X144" i="1"/>
  <c r="K143" i="7"/>
  <c r="AC144" i="1"/>
  <c r="O144" i="1"/>
  <c r="W144" i="1"/>
  <c r="M143" i="7"/>
  <c r="M144" i="1"/>
  <c r="G144" i="1"/>
  <c r="V144" i="1"/>
  <c r="N144" i="1"/>
  <c r="K144" i="1"/>
  <c r="U144" i="1"/>
  <c r="I144" i="1"/>
  <c r="B144" i="1"/>
  <c r="C144" i="1"/>
  <c r="AB144" i="1"/>
  <c r="S144" i="1"/>
  <c r="T144" i="1"/>
  <c r="Q144" i="1"/>
  <c r="D144" i="1"/>
  <c r="E144" i="1"/>
  <c r="Z144" i="1"/>
  <c r="F144" i="1"/>
  <c r="Y144" i="1"/>
  <c r="R144" i="1"/>
  <c r="P144" i="1"/>
  <c r="P143" i="7" l="1"/>
  <c r="O143" i="7"/>
  <c r="Q143" i="7"/>
  <c r="J145" i="7"/>
  <c r="A145" i="1"/>
  <c r="L145" i="7"/>
  <c r="M145" i="1"/>
  <c r="F145" i="1"/>
  <c r="K144" i="7"/>
  <c r="S145" i="1"/>
  <c r="N144" i="7"/>
  <c r="E145" i="1"/>
  <c r="N145" i="1"/>
  <c r="P145" i="1"/>
  <c r="M144" i="7"/>
  <c r="U145" i="1"/>
  <c r="AB145" i="1"/>
  <c r="O145" i="1"/>
  <c r="T145" i="1"/>
  <c r="R145" i="1"/>
  <c r="L145" i="1"/>
  <c r="G145" i="1"/>
  <c r="AA145" i="1"/>
  <c r="K145" i="1"/>
  <c r="Z145" i="1"/>
  <c r="B145" i="1"/>
  <c r="D145" i="1"/>
  <c r="Q145" i="1"/>
  <c r="X145" i="1"/>
  <c r="I145" i="1"/>
  <c r="V145" i="1"/>
  <c r="C145" i="1"/>
  <c r="J145" i="1"/>
  <c r="W145" i="1"/>
  <c r="AC145" i="1"/>
  <c r="Y145" i="1"/>
  <c r="O144" i="7" l="1"/>
  <c r="P144" i="7"/>
  <c r="Q144" i="7"/>
  <c r="J146" i="7"/>
  <c r="A146" i="1"/>
  <c r="L146" i="7"/>
  <c r="N146" i="1"/>
  <c r="C146" i="1"/>
  <c r="N145" i="7"/>
  <c r="S146" i="1"/>
  <c r="W146" i="1"/>
  <c r="M145" i="7"/>
  <c r="D146" i="1"/>
  <c r="E146" i="1"/>
  <c r="L146" i="1"/>
  <c r="K145" i="7"/>
  <c r="T146" i="1"/>
  <c r="J146" i="1"/>
  <c r="X146" i="1"/>
  <c r="P146" i="1"/>
  <c r="V146" i="1"/>
  <c r="AB146" i="1"/>
  <c r="AC146" i="1"/>
  <c r="Z146" i="1"/>
  <c r="O146" i="1"/>
  <c r="AA146" i="1"/>
  <c r="G146" i="1"/>
  <c r="B146" i="1"/>
  <c r="K146" i="1"/>
  <c r="Y146" i="1"/>
  <c r="M146" i="1"/>
  <c r="R146" i="1"/>
  <c r="Q146" i="1"/>
  <c r="U146" i="1"/>
  <c r="I146" i="1"/>
  <c r="F146" i="1"/>
  <c r="P145" i="7" l="1"/>
  <c r="O145" i="7"/>
  <c r="Q145" i="7"/>
  <c r="J147" i="7"/>
  <c r="A147" i="1"/>
  <c r="L147" i="7"/>
  <c r="O147" i="1"/>
  <c r="E147" i="1"/>
  <c r="N146" i="7"/>
  <c r="Z147" i="1"/>
  <c r="K146" i="7"/>
  <c r="X147" i="1"/>
  <c r="G147" i="1"/>
  <c r="AC147" i="1"/>
  <c r="M146" i="7"/>
  <c r="I147" i="1"/>
  <c r="Q147" i="1"/>
  <c r="B147" i="1"/>
  <c r="N147" i="1"/>
  <c r="AA147" i="1"/>
  <c r="F147" i="1"/>
  <c r="D147" i="1"/>
  <c r="C147" i="1"/>
  <c r="P147" i="1"/>
  <c r="L147" i="1"/>
  <c r="M147" i="1"/>
  <c r="K147" i="1"/>
  <c r="V147" i="1"/>
  <c r="AB147" i="1"/>
  <c r="R147" i="1"/>
  <c r="T147" i="1"/>
  <c r="Y147" i="1"/>
  <c r="S147" i="1"/>
  <c r="W147" i="1"/>
  <c r="U147" i="1"/>
  <c r="J147" i="1"/>
  <c r="P146" i="7" l="1"/>
  <c r="O146" i="7"/>
  <c r="Q146" i="7"/>
  <c r="J148" i="7"/>
  <c r="A148" i="1"/>
  <c r="L148" i="7"/>
  <c r="Q148" i="1"/>
  <c r="F148" i="1"/>
  <c r="S148" i="1"/>
  <c r="M147" i="7"/>
  <c r="C148" i="1"/>
  <c r="Z148" i="1"/>
  <c r="N147" i="7"/>
  <c r="D148" i="1"/>
  <c r="T148" i="1"/>
  <c r="R148" i="1"/>
  <c r="K147" i="7"/>
  <c r="AC148" i="1"/>
  <c r="I148" i="1"/>
  <c r="U148" i="1"/>
  <c r="B148" i="1"/>
  <c r="M148" i="1"/>
  <c r="AB148" i="1"/>
  <c r="E148" i="1"/>
  <c r="N148" i="1"/>
  <c r="K148" i="1"/>
  <c r="V148" i="1"/>
  <c r="X148" i="1"/>
  <c r="L148" i="1"/>
  <c r="P148" i="1"/>
  <c r="O148" i="1"/>
  <c r="W148" i="1"/>
  <c r="Y148" i="1"/>
  <c r="G148" i="1"/>
  <c r="AA148" i="1"/>
  <c r="J148" i="1"/>
  <c r="O147" i="7" l="1"/>
  <c r="P147" i="7"/>
  <c r="Q147" i="7"/>
  <c r="J149" i="7"/>
  <c r="A149" i="1"/>
  <c r="L149" i="7"/>
  <c r="S149" i="1"/>
  <c r="Q149" i="1"/>
  <c r="N148" i="7"/>
  <c r="G149" i="1"/>
  <c r="O149" i="1"/>
  <c r="M148" i="7"/>
  <c r="E149" i="1"/>
  <c r="T149" i="1"/>
  <c r="V149" i="1"/>
  <c r="K148" i="7"/>
  <c r="C149" i="1"/>
  <c r="N149" i="1"/>
  <c r="U149" i="1"/>
  <c r="L149" i="1"/>
  <c r="M149" i="1"/>
  <c r="AC149" i="1"/>
  <c r="I149" i="1"/>
  <c r="B149" i="1"/>
  <c r="K149" i="1"/>
  <c r="J149" i="1"/>
  <c r="AA149" i="1"/>
  <c r="P149" i="1"/>
  <c r="F149" i="1"/>
  <c r="Z149" i="1"/>
  <c r="Y149" i="1"/>
  <c r="AB149" i="1"/>
  <c r="X149" i="1"/>
  <c r="D149" i="1"/>
  <c r="W149" i="1"/>
  <c r="R149" i="1"/>
  <c r="P148" i="7" l="1"/>
  <c r="O148" i="7"/>
  <c r="Q148" i="7"/>
  <c r="J150" i="7"/>
  <c r="A150" i="1"/>
  <c r="L150" i="7"/>
  <c r="B150" i="1"/>
  <c r="AB150" i="1"/>
  <c r="K149" i="7"/>
  <c r="T150" i="1"/>
  <c r="N149" i="7"/>
  <c r="J150" i="1"/>
  <c r="W150" i="1"/>
  <c r="E150" i="1"/>
  <c r="M149" i="7"/>
  <c r="V150" i="1"/>
  <c r="G150" i="1"/>
  <c r="R150" i="1"/>
  <c r="I150" i="1"/>
  <c r="M150" i="1"/>
  <c r="U150" i="1"/>
  <c r="L150" i="1"/>
  <c r="P150" i="1"/>
  <c r="Z150" i="1"/>
  <c r="N150" i="1"/>
  <c r="F150" i="1"/>
  <c r="AA150" i="1"/>
  <c r="Q150" i="1"/>
  <c r="C150" i="1"/>
  <c r="D150" i="1"/>
  <c r="AC150" i="1"/>
  <c r="X150" i="1"/>
  <c r="K150" i="1"/>
  <c r="Y150" i="1"/>
  <c r="O150" i="1"/>
  <c r="S150" i="1"/>
  <c r="O149" i="7" l="1"/>
  <c r="P149" i="7"/>
  <c r="Q149" i="7"/>
  <c r="J151" i="7"/>
  <c r="A151" i="1"/>
  <c r="L151" i="7"/>
  <c r="P151" i="1"/>
  <c r="AC151" i="1"/>
  <c r="L151" i="1"/>
  <c r="K150" i="7"/>
  <c r="G151" i="1"/>
  <c r="U151" i="1"/>
  <c r="M150" i="7"/>
  <c r="W151" i="1"/>
  <c r="Q151" i="1"/>
  <c r="I151" i="1"/>
  <c r="N150" i="7"/>
  <c r="J151" i="1"/>
  <c r="R151" i="1"/>
  <c r="C151" i="1"/>
  <c r="V151" i="1"/>
  <c r="T151" i="1"/>
  <c r="AB151" i="1"/>
  <c r="Y151" i="1"/>
  <c r="N151" i="1"/>
  <c r="K151" i="1"/>
  <c r="S151" i="1"/>
  <c r="B151" i="1"/>
  <c r="AA151" i="1"/>
  <c r="D151" i="1"/>
  <c r="M151" i="1"/>
  <c r="F151" i="1"/>
  <c r="E151" i="1"/>
  <c r="X151" i="1"/>
  <c r="Z151" i="1"/>
  <c r="O151" i="1"/>
  <c r="P150" i="7" l="1"/>
  <c r="O150" i="7"/>
  <c r="Q150" i="7"/>
  <c r="J152" i="7"/>
  <c r="A152" i="1"/>
  <c r="L152" i="7"/>
  <c r="P152" i="1"/>
  <c r="D152" i="1"/>
  <c r="N151" i="7"/>
  <c r="Y152" i="1"/>
  <c r="T152" i="1"/>
  <c r="K151" i="7"/>
  <c r="V152" i="1"/>
  <c r="B152" i="1"/>
  <c r="E152" i="1"/>
  <c r="M151" i="7"/>
  <c r="AB152" i="1"/>
  <c r="G152" i="1"/>
  <c r="L152" i="1"/>
  <c r="K152" i="1"/>
  <c r="Z152" i="1"/>
  <c r="N152" i="1"/>
  <c r="C152" i="1"/>
  <c r="U152" i="1"/>
  <c r="Q152" i="1"/>
  <c r="W152" i="1"/>
  <c r="S152" i="1"/>
  <c r="R152" i="1"/>
  <c r="I152" i="1"/>
  <c r="O152" i="1"/>
  <c r="M152" i="1"/>
  <c r="F152" i="1"/>
  <c r="AC152" i="1"/>
  <c r="X152" i="1"/>
  <c r="AA152" i="1"/>
  <c r="J152" i="1"/>
  <c r="O151" i="7" l="1"/>
  <c r="P151" i="7"/>
  <c r="Q151" i="7"/>
  <c r="J153" i="7"/>
  <c r="A153" i="1"/>
  <c r="L153" i="7"/>
  <c r="M153" i="1"/>
  <c r="AA153" i="1"/>
  <c r="M152" i="7"/>
  <c r="B153" i="1"/>
  <c r="X153" i="1"/>
  <c r="K152" i="7"/>
  <c r="T153" i="1"/>
  <c r="N153" i="1"/>
  <c r="F153" i="1"/>
  <c r="N152" i="7"/>
  <c r="O153" i="1"/>
  <c r="G153" i="1"/>
  <c r="K153" i="1"/>
  <c r="Z153" i="1"/>
  <c r="I153" i="1"/>
  <c r="AB153" i="1"/>
  <c r="J153" i="1"/>
  <c r="V153" i="1"/>
  <c r="W153" i="1"/>
  <c r="Y153" i="1"/>
  <c r="C153" i="1"/>
  <c r="E153" i="1"/>
  <c r="D153" i="1"/>
  <c r="R153" i="1"/>
  <c r="S153" i="1"/>
  <c r="U153" i="1"/>
  <c r="P153" i="1"/>
  <c r="AC153" i="1"/>
  <c r="L153" i="1"/>
  <c r="Q153" i="1"/>
  <c r="O152" i="7" l="1"/>
  <c r="P152" i="7"/>
  <c r="Q152" i="7"/>
  <c r="J154" i="7"/>
  <c r="A154" i="1"/>
  <c r="L154" i="7"/>
  <c r="B154" i="1"/>
  <c r="V154" i="1"/>
  <c r="M153" i="7"/>
  <c r="U154" i="1"/>
  <c r="J154" i="1"/>
  <c r="N153" i="7"/>
  <c r="E154" i="1"/>
  <c r="G154" i="1"/>
  <c r="N154" i="1"/>
  <c r="K153" i="7"/>
  <c r="M154" i="1"/>
  <c r="O154" i="1"/>
  <c r="L154" i="1"/>
  <c r="Q154" i="1"/>
  <c r="AA154" i="1"/>
  <c r="I154" i="1"/>
  <c r="T154" i="1"/>
  <c r="D154" i="1"/>
  <c r="R154" i="1"/>
  <c r="Z154" i="1"/>
  <c r="W154" i="1"/>
  <c r="C154" i="1"/>
  <c r="Y154" i="1"/>
  <c r="AC154" i="1"/>
  <c r="K154" i="1"/>
  <c r="AB154" i="1"/>
  <c r="X154" i="1"/>
  <c r="F154" i="1"/>
  <c r="S154" i="1"/>
  <c r="P154" i="1"/>
  <c r="O153" i="7" l="1"/>
  <c r="P153" i="7"/>
  <c r="Q153" i="7"/>
  <c r="J155" i="7"/>
  <c r="A155" i="1"/>
  <c r="L155" i="7"/>
  <c r="AC155" i="1"/>
  <c r="N155" i="1"/>
  <c r="AB155" i="1"/>
  <c r="N154" i="7"/>
  <c r="Y155" i="1"/>
  <c r="S155" i="1"/>
  <c r="K154" i="7"/>
  <c r="P155" i="1"/>
  <c r="D155" i="1"/>
  <c r="T155" i="1"/>
  <c r="M154" i="7"/>
  <c r="G155" i="1"/>
  <c r="V155" i="1"/>
  <c r="O155" i="1"/>
  <c r="R155" i="1"/>
  <c r="K155" i="1"/>
  <c r="AA155" i="1"/>
  <c r="U155" i="1"/>
  <c r="Q155" i="1"/>
  <c r="L155" i="1"/>
  <c r="C155" i="1"/>
  <c r="E155" i="1"/>
  <c r="J155" i="1"/>
  <c r="B155" i="1"/>
  <c r="F155" i="1"/>
  <c r="Z155" i="1"/>
  <c r="I155" i="1"/>
  <c r="X155" i="1"/>
  <c r="M155" i="1"/>
  <c r="W155" i="1"/>
  <c r="P154" i="7" l="1"/>
  <c r="O154" i="7"/>
  <c r="Q154" i="7"/>
  <c r="J156" i="7"/>
  <c r="A156" i="1"/>
  <c r="L156" i="7"/>
  <c r="X156" i="1"/>
  <c r="E156" i="1"/>
  <c r="K155" i="7"/>
  <c r="V156" i="1"/>
  <c r="C156" i="1"/>
  <c r="N155" i="7"/>
  <c r="J156" i="1"/>
  <c r="O156" i="1"/>
  <c r="Y156" i="1"/>
  <c r="M155" i="7"/>
  <c r="AA156" i="1"/>
  <c r="K156" i="1"/>
  <c r="AC156" i="1"/>
  <c r="L156" i="1"/>
  <c r="Q156" i="1"/>
  <c r="N156" i="1"/>
  <c r="G156" i="1"/>
  <c r="Z156" i="1"/>
  <c r="F156" i="1"/>
  <c r="D156" i="1"/>
  <c r="R156" i="1"/>
  <c r="M156" i="1"/>
  <c r="S156" i="1"/>
  <c r="U156" i="1"/>
  <c r="B156" i="1"/>
  <c r="AB156" i="1"/>
  <c r="P156" i="1"/>
  <c r="W156" i="1"/>
  <c r="T156" i="1"/>
  <c r="I156" i="1"/>
  <c r="O155" i="7" l="1"/>
  <c r="P155" i="7"/>
  <c r="Q155" i="7"/>
  <c r="J157" i="7"/>
  <c r="A157" i="1"/>
  <c r="L157" i="7"/>
  <c r="E157" i="1"/>
  <c r="Y157" i="1"/>
  <c r="K156" i="7"/>
  <c r="AB157" i="1"/>
  <c r="F157" i="1"/>
  <c r="N156" i="7"/>
  <c r="G157" i="1"/>
  <c r="AC157" i="1"/>
  <c r="M156" i="7"/>
  <c r="X157" i="1"/>
  <c r="V157" i="1"/>
  <c r="D157" i="1"/>
  <c r="Q157" i="1"/>
  <c r="AA157" i="1"/>
  <c r="R157" i="1"/>
  <c r="W157" i="1"/>
  <c r="J157" i="1"/>
  <c r="L157" i="1"/>
  <c r="C157" i="1"/>
  <c r="I157" i="1"/>
  <c r="O157" i="1"/>
  <c r="N157" i="1"/>
  <c r="U157" i="1"/>
  <c r="B157" i="1"/>
  <c r="Z157" i="1"/>
  <c r="T157" i="1"/>
  <c r="M157" i="1"/>
  <c r="K157" i="1"/>
  <c r="S157" i="1"/>
  <c r="P157" i="1"/>
  <c r="O156" i="7" l="1"/>
  <c r="P156" i="7"/>
  <c r="Q156" i="7"/>
  <c r="J158" i="7"/>
  <c r="A158" i="1"/>
  <c r="L158" i="7"/>
  <c r="D158" i="1"/>
  <c r="K158" i="1"/>
  <c r="K157" i="7"/>
  <c r="P158" i="1"/>
  <c r="AA158" i="1"/>
  <c r="N157" i="7"/>
  <c r="U158" i="1"/>
  <c r="R158" i="1"/>
  <c r="M157" i="7"/>
  <c r="C158" i="1"/>
  <c r="G158" i="1"/>
  <c r="X158" i="1"/>
  <c r="T158" i="1"/>
  <c r="AB158" i="1"/>
  <c r="O158" i="1"/>
  <c r="AC158" i="1"/>
  <c r="Z158" i="1"/>
  <c r="E158" i="1"/>
  <c r="W158" i="1"/>
  <c r="Q158" i="1"/>
  <c r="J158" i="1"/>
  <c r="Y158" i="1"/>
  <c r="F158" i="1"/>
  <c r="I158" i="1"/>
  <c r="B158" i="1"/>
  <c r="V158" i="1"/>
  <c r="N158" i="1"/>
  <c r="L158" i="1"/>
  <c r="S158" i="1"/>
  <c r="M158" i="1"/>
  <c r="O157" i="7" l="1"/>
  <c r="P157" i="7"/>
  <c r="Q157" i="7"/>
  <c r="J159" i="7"/>
  <c r="A159" i="1"/>
  <c r="L159" i="7"/>
  <c r="B159" i="1"/>
  <c r="V159" i="1"/>
  <c r="M158" i="7"/>
  <c r="N159" i="1"/>
  <c r="U159" i="1"/>
  <c r="K158" i="7"/>
  <c r="D159" i="1"/>
  <c r="X159" i="1"/>
  <c r="N158" i="7"/>
  <c r="M159" i="1"/>
  <c r="G159" i="1"/>
  <c r="I159" i="1"/>
  <c r="AB159" i="1"/>
  <c r="P159" i="1"/>
  <c r="O159" i="1"/>
  <c r="E159" i="1"/>
  <c r="T159" i="1"/>
  <c r="J159" i="1"/>
  <c r="AA159" i="1"/>
  <c r="S159" i="1"/>
  <c r="Q159" i="1"/>
  <c r="F159" i="1"/>
  <c r="W159" i="1"/>
  <c r="AC159" i="1"/>
  <c r="L159" i="1"/>
  <c r="Z159" i="1"/>
  <c r="C159" i="1"/>
  <c r="K159" i="1"/>
  <c r="Y159" i="1"/>
  <c r="R159" i="1"/>
  <c r="O158" i="7" l="1"/>
  <c r="P158" i="7"/>
  <c r="Q158" i="7"/>
  <c r="J160" i="7"/>
  <c r="A160" i="1"/>
  <c r="L160" i="7"/>
  <c r="F160" i="1"/>
  <c r="M160" i="1"/>
  <c r="M159" i="7"/>
  <c r="U160" i="1"/>
  <c r="R160" i="1"/>
  <c r="K159" i="7"/>
  <c r="G160" i="1"/>
  <c r="P160" i="1"/>
  <c r="I160" i="1"/>
  <c r="N159" i="7"/>
  <c r="AC160" i="1"/>
  <c r="K160" i="1"/>
  <c r="B160" i="1"/>
  <c r="AB160" i="1"/>
  <c r="Q160" i="1"/>
  <c r="D160" i="1"/>
  <c r="S160" i="1"/>
  <c r="N160" i="1"/>
  <c r="AA160" i="1"/>
  <c r="V160" i="1"/>
  <c r="J160" i="1"/>
  <c r="W160" i="1"/>
  <c r="X160" i="1"/>
  <c r="C160" i="1"/>
  <c r="O160" i="1"/>
  <c r="T160" i="1"/>
  <c r="E160" i="1"/>
  <c r="L160" i="1"/>
  <c r="Z160" i="1"/>
  <c r="Y160" i="1"/>
  <c r="O159" i="7" l="1"/>
  <c r="P159" i="7"/>
  <c r="Q159" i="7"/>
  <c r="J161" i="7"/>
  <c r="A161" i="1"/>
  <c r="L161" i="7"/>
  <c r="N161" i="1"/>
  <c r="V161" i="1"/>
  <c r="K160" i="7"/>
  <c r="X161" i="1"/>
  <c r="M160" i="7"/>
  <c r="J161" i="1"/>
  <c r="R161" i="1"/>
  <c r="P161" i="1"/>
  <c r="N160" i="7"/>
  <c r="M161" i="1"/>
  <c r="F161" i="1"/>
  <c r="T161" i="1"/>
  <c r="G161" i="1"/>
  <c r="Q161" i="1"/>
  <c r="AC161" i="1"/>
  <c r="AA161" i="1"/>
  <c r="AB161" i="1"/>
  <c r="U161" i="1"/>
  <c r="D161" i="1"/>
  <c r="I161" i="1"/>
  <c r="S161" i="1"/>
  <c r="C161" i="1"/>
  <c r="W161" i="1"/>
  <c r="L161" i="1"/>
  <c r="E161" i="1"/>
  <c r="O161" i="1"/>
  <c r="Y161" i="1"/>
  <c r="Z161" i="1"/>
  <c r="B161" i="1"/>
  <c r="K161" i="1"/>
  <c r="P160" i="7" l="1"/>
  <c r="O160" i="7"/>
  <c r="Q160" i="7"/>
  <c r="J162" i="7"/>
  <c r="A162" i="1"/>
  <c r="L162" i="7"/>
  <c r="T162" i="1"/>
  <c r="AB162" i="1"/>
  <c r="M161" i="7"/>
  <c r="I162" i="1"/>
  <c r="N161" i="7"/>
  <c r="G162" i="1"/>
  <c r="W162" i="1"/>
  <c r="AA162" i="1"/>
  <c r="K161" i="7"/>
  <c r="P162" i="1"/>
  <c r="U162" i="1"/>
  <c r="E162" i="1"/>
  <c r="V162" i="1"/>
  <c r="Y162" i="1"/>
  <c r="R162" i="1"/>
  <c r="C162" i="1"/>
  <c r="N162" i="1"/>
  <c r="O162" i="1"/>
  <c r="F162" i="1"/>
  <c r="X162" i="1"/>
  <c r="K162" i="1"/>
  <c r="B162" i="1"/>
  <c r="Z162" i="1"/>
  <c r="L162" i="1"/>
  <c r="S162" i="1"/>
  <c r="Q162" i="1"/>
  <c r="AC162" i="1"/>
  <c r="J162" i="1"/>
  <c r="M162" i="1"/>
  <c r="D162" i="1"/>
  <c r="O161" i="7" l="1"/>
  <c r="P161" i="7"/>
  <c r="Q161" i="7"/>
  <c r="J163" i="7"/>
  <c r="A163" i="1"/>
  <c r="L163" i="7"/>
  <c r="Z163" i="1"/>
  <c r="R163" i="1"/>
  <c r="K162" i="7"/>
  <c r="J163" i="1"/>
  <c r="U163" i="1"/>
  <c r="M162" i="7"/>
  <c r="G163" i="1"/>
  <c r="F163" i="1"/>
  <c r="C163" i="1"/>
  <c r="N162" i="7"/>
  <c r="E163" i="1"/>
  <c r="AB163" i="1"/>
  <c r="O163" i="1"/>
  <c r="T163" i="1"/>
  <c r="I163" i="1"/>
  <c r="X163" i="1"/>
  <c r="AC163" i="1"/>
  <c r="V163" i="1"/>
  <c r="K163" i="1"/>
  <c r="N163" i="1"/>
  <c r="B163" i="1"/>
  <c r="Q163" i="1"/>
  <c r="D163" i="1"/>
  <c r="W163" i="1"/>
  <c r="AA163" i="1"/>
  <c r="Y163" i="1"/>
  <c r="L163" i="1"/>
  <c r="S163" i="1"/>
  <c r="P163" i="1"/>
  <c r="M163" i="1"/>
  <c r="P162" i="7" l="1"/>
  <c r="O162" i="7"/>
  <c r="Q162" i="7"/>
  <c r="J164" i="7"/>
  <c r="A164" i="1"/>
  <c r="L164" i="7"/>
  <c r="B164" i="1"/>
  <c r="F164" i="1"/>
  <c r="M163" i="7"/>
  <c r="R164" i="1"/>
  <c r="N163" i="7"/>
  <c r="G164" i="1"/>
  <c r="L164" i="1"/>
  <c r="S164" i="1"/>
  <c r="K163" i="7"/>
  <c r="AB164" i="1"/>
  <c r="I164" i="1"/>
  <c r="Z164" i="1"/>
  <c r="K164" i="1"/>
  <c r="D164" i="1"/>
  <c r="P164" i="1"/>
  <c r="V164" i="1"/>
  <c r="Q164" i="1"/>
  <c r="U164" i="1"/>
  <c r="E164" i="1"/>
  <c r="T164" i="1"/>
  <c r="O164" i="1"/>
  <c r="M164" i="1"/>
  <c r="AC164" i="1"/>
  <c r="Y164" i="1"/>
  <c r="C164" i="1"/>
  <c r="AA164" i="1"/>
  <c r="J164" i="1"/>
  <c r="W164" i="1"/>
  <c r="X164" i="1"/>
  <c r="N164" i="1"/>
  <c r="O163" i="7" l="1"/>
  <c r="P163" i="7"/>
  <c r="Q163" i="7"/>
  <c r="A165" i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K164" i="7"/>
  <c r="N164" i="7"/>
  <c r="M164" i="7"/>
  <c r="O164" i="7" l="1"/>
  <c r="P164" i="7"/>
  <c r="Q164" i="7"/>
</calcChain>
</file>

<file path=xl/sharedStrings.xml><?xml version="1.0" encoding="utf-8"?>
<sst xmlns="http://schemas.openxmlformats.org/spreadsheetml/2006/main" count="85" uniqueCount="56">
  <si>
    <t>Module</t>
  </si>
  <si>
    <t>Basic_1</t>
  </si>
  <si>
    <t>Basic_2</t>
  </si>
  <si>
    <t>Basic_3</t>
  </si>
  <si>
    <t>AY</t>
  </si>
  <si>
    <t>HTAP Data Summarizer</t>
  </si>
  <si>
    <t>CE</t>
  </si>
  <si>
    <t>DX</t>
  </si>
  <si>
    <t>Column #</t>
  </si>
  <si>
    <t>Souce:</t>
  </si>
  <si>
    <t>#</t>
  </si>
  <si>
    <t>Savings</t>
  </si>
  <si>
    <t>HRV:  Heating energy (GJ)</t>
  </si>
  <si>
    <t>Ventilation Fans: Heating energy (GJ)</t>
  </si>
  <si>
    <t>Intermediate_4</t>
  </si>
  <si>
    <t>Intermediate_5</t>
  </si>
  <si>
    <t>Intermediate_6</t>
  </si>
  <si>
    <t>DM</t>
  </si>
  <si>
    <t>X axis</t>
  </si>
  <si>
    <t>Y axis</t>
  </si>
  <si>
    <t>Labels</t>
  </si>
  <si>
    <t>Column</t>
  </si>
  <si>
    <t>Plot</t>
  </si>
  <si>
    <t>Scatter</t>
  </si>
  <si>
    <t>Incremental</t>
  </si>
  <si>
    <t>PLOT: X Axis</t>
  </si>
  <si>
    <t>PLOT: Y Axis</t>
  </si>
  <si>
    <t>Row</t>
  </si>
  <si>
    <t>RUN</t>
  </si>
  <si>
    <t>FILTER</t>
  </si>
  <si>
    <t>archetype: h2k-File</t>
  </si>
  <si>
    <t>configuration: RunNumber</t>
  </si>
  <si>
    <t>input: Opt-Location</t>
  </si>
  <si>
    <t>output: HDDs</t>
  </si>
  <si>
    <t>input: Opt-Ruleset</t>
  </si>
  <si>
    <t>input: House-ListOfUpgrades</t>
  </si>
  <si>
    <t>cost-estimates: byBuildingComponent: envelope</t>
  </si>
  <si>
    <t>cost-estimates: byBuildingComponent: mechanical</t>
  </si>
  <si>
    <t>cost-estimates: byBuildingComponent: renewable</t>
  </si>
  <si>
    <t>cost-estimates: total</t>
  </si>
  <si>
    <t>output: PEAK-Heating-W</t>
  </si>
  <si>
    <t>output: AuxEnergyReq-HeatingGJ</t>
  </si>
  <si>
    <t>output: Energy-HeatingGJ</t>
  </si>
  <si>
    <t>output: Energy-DHWGJ</t>
  </si>
  <si>
    <t>output: Energy-VentGJ</t>
  </si>
  <si>
    <t>output: Energy-PlugGJ</t>
  </si>
  <si>
    <t>output: Energy-Total-GJ</t>
  </si>
  <si>
    <t>output: EnergyGasM3</t>
  </si>
  <si>
    <t>output: EnergyOil l</t>
  </si>
  <si>
    <t>input: Ruleset-Fuel-Source</t>
  </si>
  <si>
    <t>Base</t>
  </si>
  <si>
    <t>Upgrade</t>
  </si>
  <si>
    <t>input: Opt-AboveGradeWall</t>
  </si>
  <si>
    <t>input: upgrade-package-list</t>
  </si>
  <si>
    <t>output: Energy-PV-kWh</t>
  </si>
  <si>
    <t>Exercise_7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</si>
</sst>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.0_-;\-* #,##0.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u/>
      <sz val="30"/>
      <color theme="1"/>
      <name val="Calibri"/>
      <family val="2"/>
      <scheme val="minor"/>
    </font>
    <font>
      <b/>
      <sz val="11"/>
      <color theme="0" tint="-0.499984740745262"/>
      <name val="Courier New"/>
      <family val="3"/>
    </font>
    <font>
      <b/>
      <sz val="11"/>
      <color theme="1"/>
      <name val="Courier New"/>
      <family val="3"/>
    </font>
    <font>
      <b/>
      <sz val="9"/>
      <color theme="0" tint="-0.499984740745262"/>
      <name val="Courier New"/>
      <family val="3"/>
    </font>
    <font>
      <b/>
      <sz val="9"/>
      <color theme="1"/>
      <name val="Courier New"/>
      <family val="3"/>
    </font>
    <font>
      <b/>
      <sz val="30"/>
      <color theme="0" tint="-0.499984740745262"/>
      <name val="Courier New"/>
      <family val="3"/>
    </font>
    <font>
      <b/>
      <sz val="12"/>
      <color theme="0" tint="-0.499984740745262"/>
      <name val="Courier New"/>
      <family val="3"/>
    </font>
    <font>
      <i/>
      <sz val="11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2" tint="-0.249977111117893"/>
      <name val="Courier New"/>
      <family val="3"/>
    </font>
    <font>
      <u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dotted">
        <color indexed="64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dotted">
        <color indexed="64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rgb="FFB2B2B2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/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0" fontId="3" fillId="3" borderId="0" xfId="0" applyFont="1" applyFill="1"/>
    <xf numFmtId="0" fontId="0" fillId="2" borderId="1" xfId="1" applyFont="1"/>
    <xf numFmtId="0" fontId="5" fillId="3" borderId="0" xfId="0" applyFont="1" applyFill="1"/>
    <xf numFmtId="0" fontId="6" fillId="3" borderId="0" xfId="0" applyFont="1" applyFill="1"/>
    <xf numFmtId="0" fontId="7" fillId="3" borderId="0" xfId="0" applyFont="1" applyFill="1"/>
    <xf numFmtId="0" fontId="8" fillId="3" borderId="0" xfId="0" applyFont="1" applyFill="1"/>
    <xf numFmtId="0" fontId="5" fillId="2" borderId="2" xfId="1" applyFont="1" applyBorder="1"/>
    <xf numFmtId="0" fontId="9" fillId="3" borderId="0" xfId="0" applyFont="1" applyFill="1"/>
    <xf numFmtId="0" fontId="10" fillId="3" borderId="0" xfId="0" applyFont="1" applyFill="1"/>
    <xf numFmtId="0" fontId="5" fillId="3" borderId="0" xfId="0" applyFont="1" applyFill="1" applyAlignment="1">
      <alignment horizontal="right"/>
    </xf>
    <xf numFmtId="164" fontId="0" fillId="0" borderId="0" xfId="2" applyNumberFormat="1" applyFont="1"/>
    <xf numFmtId="0" fontId="11" fillId="3" borderId="0" xfId="0" applyFont="1" applyFill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0" fillId="3" borderId="10" xfId="0" applyFont="1" applyFill="1" applyBorder="1" applyAlignment="1">
      <alignment horizontal="right"/>
    </xf>
    <xf numFmtId="0" fontId="0" fillId="3" borderId="13" xfId="0" applyFont="1" applyFill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4" xfId="0" applyFill="1" applyBorder="1" applyAlignment="1">
      <alignment horizontal="right"/>
    </xf>
    <xf numFmtId="0" fontId="0" fillId="3" borderId="15" xfId="0" applyFill="1" applyBorder="1" applyAlignment="1">
      <alignment horizontal="right"/>
    </xf>
    <xf numFmtId="0" fontId="12" fillId="3" borderId="5" xfId="0" applyFont="1" applyFill="1" applyBorder="1"/>
    <xf numFmtId="0" fontId="13" fillId="3" borderId="6" xfId="0" applyFont="1" applyFill="1" applyBorder="1"/>
    <xf numFmtId="0" fontId="13" fillId="3" borderId="16" xfId="0" applyFont="1" applyFill="1" applyBorder="1"/>
    <xf numFmtId="0" fontId="0" fillId="3" borderId="0" xfId="0" applyFont="1" applyFill="1"/>
    <xf numFmtId="9" fontId="0" fillId="3" borderId="0" xfId="3" applyFont="1" applyFill="1"/>
    <xf numFmtId="0" fontId="7" fillId="3" borderId="0" xfId="0" applyFont="1" applyFill="1" applyAlignment="1">
      <alignment horizontal="right" wrapText="1"/>
    </xf>
    <xf numFmtId="0" fontId="7" fillId="2" borderId="2" xfId="1" applyFont="1" applyBorder="1" applyAlignment="1">
      <alignment wrapText="1"/>
    </xf>
    <xf numFmtId="0" fontId="7" fillId="2" borderId="3" xfId="1" applyFont="1" applyBorder="1" applyAlignment="1">
      <alignment wrapText="1"/>
    </xf>
    <xf numFmtId="0" fontId="7" fillId="2" borderId="4" xfId="1" applyFont="1" applyBorder="1" applyAlignment="1">
      <alignment wrapText="1"/>
    </xf>
    <xf numFmtId="0" fontId="7" fillId="3" borderId="0" xfId="0" applyFont="1" applyFill="1" applyAlignment="1">
      <alignment wrapText="1"/>
    </xf>
    <xf numFmtId="0" fontId="14" fillId="3" borderId="0" xfId="0" applyFont="1" applyFill="1"/>
    <xf numFmtId="0" fontId="16" fillId="3" borderId="0" xfId="0" applyFont="1" applyFill="1"/>
    <xf numFmtId="0" fontId="3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8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2" borderId="3" xfId="1" applyFont="1" applyBorder="1" applyAlignment="1">
      <alignment horizontal="left" wrapText="1"/>
    </xf>
    <xf numFmtId="0" fontId="5" fillId="2" borderId="2" xfId="1" applyFont="1" applyBorder="1" applyAlignment="1">
      <alignment horizontal="left"/>
    </xf>
    <xf numFmtId="0" fontId="15" fillId="3" borderId="17" xfId="0" applyFont="1" applyFill="1" applyBorder="1" applyAlignment="1">
      <alignment horizontal="right"/>
    </xf>
    <xf numFmtId="0" fontId="15" fillId="3" borderId="17" xfId="0" applyFont="1" applyFill="1" applyBorder="1" applyAlignment="1">
      <alignment horizontal="left"/>
    </xf>
    <xf numFmtId="43" fontId="15" fillId="3" borderId="17" xfId="2" applyFont="1" applyFill="1" applyBorder="1" applyAlignment="1">
      <alignment horizontal="left"/>
    </xf>
    <xf numFmtId="0" fontId="0" fillId="3" borderId="18" xfId="0" applyFont="1" applyFill="1" applyBorder="1" applyAlignment="1">
      <alignment horizontal="right"/>
    </xf>
    <xf numFmtId="0" fontId="0" fillId="3" borderId="18" xfId="0" applyFont="1" applyFill="1" applyBorder="1" applyAlignment="1">
      <alignment horizontal="left"/>
    </xf>
    <xf numFmtId="43" fontId="1" fillId="3" borderId="18" xfId="2" applyFont="1" applyFill="1" applyBorder="1" applyAlignment="1">
      <alignment horizontal="right"/>
    </xf>
    <xf numFmtId="0" fontId="0" fillId="3" borderId="19" xfId="0" applyFont="1" applyFill="1" applyBorder="1" applyAlignment="1">
      <alignment horizontal="right"/>
    </xf>
    <xf numFmtId="0" fontId="0" fillId="3" borderId="19" xfId="0" applyFont="1" applyFill="1" applyBorder="1" applyAlignment="1">
      <alignment horizontal="left"/>
    </xf>
    <xf numFmtId="43" fontId="1" fillId="3" borderId="19" xfId="2" applyFont="1" applyFill="1" applyBorder="1" applyAlignment="1">
      <alignment horizontal="right"/>
    </xf>
    <xf numFmtId="0" fontId="4" fillId="3" borderId="0" xfId="0" applyFont="1" applyFill="1" applyAlignment="1"/>
    <xf numFmtId="43" fontId="0" fillId="0" borderId="0" xfId="0" applyNumberFormat="1"/>
    <xf numFmtId="9" fontId="0" fillId="0" borderId="0" xfId="3" applyFont="1"/>
    <xf numFmtId="43" fontId="8" fillId="3" borderId="0" xfId="0" applyNumberFormat="1" applyFont="1" applyFill="1"/>
  </cellXfs>
  <cellStyles count="4">
    <cellStyle name="Comma" xfId="2" builtinId="3"/>
    <cellStyle name="Normal" xfId="0" builtinId="0"/>
    <cellStyle name="Note" xfId="1" builtinId="1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Plot!$C$2</c:f>
          <c:strCache>
            <c:ptCount val="1"/>
            <c:pt idx="0">
              <c:v>PLOT: [-] vs. [-]</c:v>
            </c:pt>
          </c:strCache>
        </c:strRef>
      </c:tx>
      <c:layout>
        <c:manualLayout>
          <c:xMode val="edge"/>
          <c:yMode val="edge"/>
          <c:x val="0.22911200532441089"/>
          <c:y val="4.10256343992514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PlotData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C4D6CD-2BBB-4B54-9198-AD36E5DF2585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A8B-4F42-90B6-18B244636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5-EA8B-4F42-90B6-18B2446365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6-EA8B-4F42-90B6-18B2446365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7-EA8B-4F42-90B6-18B2446365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8B-4F42-90B6-18B2446365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8B-4F42-90B6-18B2446365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8B-4F42-90B6-18B2446365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8B-4F42-90B6-18B2446365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8B-4F42-90B6-18B2446365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A8B-4F42-90B6-18B2446365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8B-4F42-90B6-18B2446365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A8B-4F42-90B6-18B2446365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A8B-4F42-90B6-18B2446365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A8B-4F42-90B6-18B2446365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A8B-4F42-90B6-18B2446365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A8B-4F42-90B6-18B2446365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A8B-4F42-90B6-18B2446365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A8B-4F42-90B6-18B2446365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A8B-4F42-90B6-18B2446365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A8B-4F42-90B6-18B2446365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A8B-4F42-90B6-18B2446365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A8B-4F42-90B6-18B2446365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A8B-4F42-90B6-18B2446365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A8B-4F42-90B6-18B2446365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A8B-4F42-90B6-18B2446365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A8B-4F42-90B6-18B2446365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A8B-4F42-90B6-18B2446365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A8B-4F42-90B6-18B2446365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A8B-4F42-90B6-18B2446365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A8B-4F42-90B6-18B2446365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A8B-4F42-90B6-18B2446365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A8B-4F42-90B6-18B2446365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A8B-4F42-90B6-18B2446365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A8B-4F42-90B6-18B2446365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A8B-4F42-90B6-18B2446365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A8B-4F42-90B6-18B2446365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A8B-4F42-90B6-18B2446365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A8B-4F42-90B6-18B2446365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A8B-4F42-90B6-18B2446365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A8B-4F42-90B6-18B2446365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A8B-4F42-90B6-18B2446365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A8B-4F42-90B6-18B2446365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A8B-4F42-90B6-18B2446365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A8B-4F42-90B6-18B2446365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EA8B-4F42-90B6-18B2446365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A8B-4F42-90B6-18B2446365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A8B-4F42-90B6-18B2446365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A8B-4F42-90B6-18B2446365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EA8B-4F42-90B6-18B2446365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A8B-4F42-90B6-18B2446365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A8B-4F42-90B6-18B2446365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A8B-4F42-90B6-18B2446365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A8B-4F42-90B6-18B2446365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A8B-4F42-90B6-18B2446365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A8B-4F42-90B6-18B2446365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A8B-4F42-90B6-18B2446365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A8B-4F42-90B6-18B2446365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A8B-4F42-90B6-18B2446365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EA8B-4F42-90B6-18B2446365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EA8B-4F42-90B6-18B2446365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EA8B-4F42-90B6-18B2446365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A8B-4F42-90B6-18B2446365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EA8B-4F42-90B6-18B2446365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A8B-4F42-90B6-18B2446365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EA8B-4F42-90B6-18B2446365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A8B-4F42-90B6-18B2446365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EA8B-4F42-90B6-18B2446365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A8B-4F42-90B6-18B2446365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EA8B-4F42-90B6-18B2446365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A8B-4F42-90B6-18B2446365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EA8B-4F42-90B6-18B2446365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A8B-4F42-90B6-18B2446365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EA8B-4F42-90B6-18B2446365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A8B-4F42-90B6-18B2446365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EA8B-4F42-90B6-18B2446365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A8B-4F42-90B6-18B2446365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A8B-4F42-90B6-18B2446365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A8B-4F42-90B6-18B2446365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EA8B-4F42-90B6-18B2446365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A8B-4F42-90B6-18B2446365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EA8B-4F42-90B6-18B2446365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A8B-4F42-90B6-18B2446365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A8B-4F42-90B6-18B2446365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A8B-4F42-90B6-18B2446365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EA8B-4F42-90B6-18B2446365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A8B-4F42-90B6-18B2446365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EA8B-4F42-90B6-18B2446365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EA8B-4F42-90B6-18B2446365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EA8B-4F42-90B6-18B2446365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EA8B-4F42-90B6-18B2446365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EA8B-4F42-90B6-18B2446365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EA8B-4F42-90B6-18B2446365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EA8B-4F42-90B6-18B2446365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EA8B-4F42-90B6-18B2446365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EA8B-4F42-90B6-18B2446365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EA8B-4F42-90B6-18B2446365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EA8B-4F42-90B6-18B2446365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EA8B-4F42-90B6-18B2446365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EA8B-4F42-90B6-18B2446365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EA8B-4F42-90B6-18B2446365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EA8B-4F42-90B6-18B2446365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EA8B-4F42-90B6-18B2446365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EA8B-4F42-90B6-18B2446365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EA8B-4F42-90B6-18B2446365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EA8B-4F42-90B6-18B2446365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EA8B-4F42-90B6-18B2446365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EA8B-4F42-90B6-18B2446365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EA8B-4F42-90B6-18B2446365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EA8B-4F42-90B6-18B2446365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EA8B-4F42-90B6-18B2446365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EA8B-4F42-90B6-18B2446365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EA8B-4F42-90B6-18B2446365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EA8B-4F42-90B6-18B2446365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EA8B-4F42-90B6-18B2446365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EA8B-4F42-90B6-18B2446365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EA8B-4F42-90B6-18B2446365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EA8B-4F42-90B6-18B2446365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EA8B-4F42-90B6-18B2446365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EA8B-4F42-90B6-18B2446365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EA8B-4F42-90B6-18B2446365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EA8B-4F42-90B6-18B2446365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EA8B-4F42-90B6-18B2446365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EA8B-4F42-90B6-18B2446365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EA8B-4F42-90B6-18B2446365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EA8B-4F42-90B6-18B2446365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EA8B-4F42-90B6-18B2446365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EA8B-4F42-90B6-18B2446365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EA8B-4F42-90B6-18B2446365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EA8B-4F42-90B6-18B2446365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EA8B-4F42-90B6-18B2446365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EA8B-4F42-90B6-18B2446365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EA8B-4F42-90B6-18B2446365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EA8B-4F42-90B6-18B2446365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EA8B-4F42-90B6-18B2446365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EA8B-4F42-90B6-18B2446365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EA8B-4F42-90B6-18B2446365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EA8B-4F42-90B6-18B2446365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EA8B-4F42-90B6-18B2446365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EA8B-4F42-90B6-18B2446365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EA8B-4F42-90B6-18B2446365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EA8B-4F42-90B6-18B2446365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EA8B-4F42-90B6-18B2446365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EA8B-4F42-90B6-18B2446365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EA8B-4F42-90B6-18B2446365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EA8B-4F42-90B6-18B2446365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EA8B-4F42-90B6-18B2446365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EA8B-4F42-90B6-18B2446365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EA8B-4F42-90B6-18B2446365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EA8B-4F42-90B6-18B2446365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EA8B-4F42-90B6-18B2446365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EA8B-4F42-90B6-18B2446365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EA8B-4F42-90B6-18B2446365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EA8B-4F42-90B6-18B2446365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EA8B-4F42-90B6-18B244636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Plot!$O$11:$O$164</c:f>
              <c:numCache>
                <c:formatCode>General</c:formatCode>
                <c:ptCount val="15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</c:numCache>
            </c:numRef>
          </c:xVal>
          <c:yVal>
            <c:numRef>
              <c:f>Plot!$P$11:$P$164</c:f>
              <c:numCache>
                <c:formatCode>General</c:formatCode>
                <c:ptCount val="15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Plot!$Q$11:$Q$165</c15:f>
                <c15:dlblRangeCache>
                  <c:ptCount val="155"/>
                  <c:pt idx="0">
                    <c:v>- / -</c:v>
                  </c:pt>
                  <c:pt idx="1">
                    <c:v>- / -</c:v>
                  </c:pt>
                  <c:pt idx="2">
                    <c:v>- / -</c:v>
                  </c:pt>
                  <c:pt idx="3">
                    <c:v>- / -</c:v>
                  </c:pt>
                  <c:pt idx="4">
                    <c:v>- / -</c:v>
                  </c:pt>
                  <c:pt idx="5">
                    <c:v>- / -</c:v>
                  </c:pt>
                  <c:pt idx="6">
                    <c:v>- / -</c:v>
                  </c:pt>
                  <c:pt idx="7">
                    <c:v>- / -</c:v>
                  </c:pt>
                  <c:pt idx="8">
                    <c:v>- / -</c:v>
                  </c:pt>
                  <c:pt idx="9">
                    <c:v>- / -</c:v>
                  </c:pt>
                  <c:pt idx="10">
                    <c:v>- / -</c:v>
                  </c:pt>
                  <c:pt idx="11">
                    <c:v>- / -</c:v>
                  </c:pt>
                  <c:pt idx="12">
                    <c:v>- / -</c:v>
                  </c:pt>
                  <c:pt idx="13">
                    <c:v>- / -</c:v>
                  </c:pt>
                  <c:pt idx="14">
                    <c:v>- / -</c:v>
                  </c:pt>
                  <c:pt idx="15">
                    <c:v>- / -</c:v>
                  </c:pt>
                  <c:pt idx="16">
                    <c:v>- / -</c:v>
                  </c:pt>
                  <c:pt idx="17">
                    <c:v>- / -</c:v>
                  </c:pt>
                  <c:pt idx="18">
                    <c:v>- / -</c:v>
                  </c:pt>
                  <c:pt idx="19">
                    <c:v>- / -</c:v>
                  </c:pt>
                  <c:pt idx="20">
                    <c:v>- / -</c:v>
                  </c:pt>
                  <c:pt idx="21">
                    <c:v>- / -</c:v>
                  </c:pt>
                  <c:pt idx="22">
                    <c:v>- / -</c:v>
                  </c:pt>
                  <c:pt idx="23">
                    <c:v>- / -</c:v>
                  </c:pt>
                  <c:pt idx="24">
                    <c:v>- / -</c:v>
                  </c:pt>
                  <c:pt idx="25">
                    <c:v>- / -</c:v>
                  </c:pt>
                  <c:pt idx="26">
                    <c:v>- / -</c:v>
                  </c:pt>
                  <c:pt idx="27">
                    <c:v>- / -</c:v>
                  </c:pt>
                  <c:pt idx="28">
                    <c:v>- / -</c:v>
                  </c:pt>
                  <c:pt idx="29">
                    <c:v>- / -</c:v>
                  </c:pt>
                  <c:pt idx="30">
                    <c:v>- / -</c:v>
                  </c:pt>
                  <c:pt idx="31">
                    <c:v>- / -</c:v>
                  </c:pt>
                  <c:pt idx="32">
                    <c:v>- / -</c:v>
                  </c:pt>
                  <c:pt idx="33">
                    <c:v>- / -</c:v>
                  </c:pt>
                  <c:pt idx="34">
                    <c:v>- / -</c:v>
                  </c:pt>
                  <c:pt idx="35">
                    <c:v>- / -</c:v>
                  </c:pt>
                  <c:pt idx="36">
                    <c:v>- / -</c:v>
                  </c:pt>
                  <c:pt idx="37">
                    <c:v>- / -</c:v>
                  </c:pt>
                  <c:pt idx="38">
                    <c:v>- / -</c:v>
                  </c:pt>
                  <c:pt idx="39">
                    <c:v>- / -</c:v>
                  </c:pt>
                  <c:pt idx="40">
                    <c:v>- / -</c:v>
                  </c:pt>
                  <c:pt idx="41">
                    <c:v>- / -</c:v>
                  </c:pt>
                  <c:pt idx="42">
                    <c:v>- / -</c:v>
                  </c:pt>
                  <c:pt idx="43">
                    <c:v>- / -</c:v>
                  </c:pt>
                  <c:pt idx="44">
                    <c:v>- / -</c:v>
                  </c:pt>
                  <c:pt idx="45">
                    <c:v>- / -</c:v>
                  </c:pt>
                  <c:pt idx="46">
                    <c:v>- / -</c:v>
                  </c:pt>
                  <c:pt idx="47">
                    <c:v>- / -</c:v>
                  </c:pt>
                  <c:pt idx="48">
                    <c:v>- / -</c:v>
                  </c:pt>
                  <c:pt idx="49">
                    <c:v>- / -</c:v>
                  </c:pt>
                  <c:pt idx="50">
                    <c:v>- / -</c:v>
                  </c:pt>
                  <c:pt idx="51">
                    <c:v>- / -</c:v>
                  </c:pt>
                  <c:pt idx="52">
                    <c:v>- / -</c:v>
                  </c:pt>
                  <c:pt idx="53">
                    <c:v>- / -</c:v>
                  </c:pt>
                  <c:pt idx="54">
                    <c:v>- / -</c:v>
                  </c:pt>
                  <c:pt idx="55">
                    <c:v>- / -</c:v>
                  </c:pt>
                  <c:pt idx="56">
                    <c:v>- / -</c:v>
                  </c:pt>
                  <c:pt idx="57">
                    <c:v>- / -</c:v>
                  </c:pt>
                  <c:pt idx="58">
                    <c:v>- / -</c:v>
                  </c:pt>
                  <c:pt idx="59">
                    <c:v>- / -</c:v>
                  </c:pt>
                  <c:pt idx="60">
                    <c:v>- / -</c:v>
                  </c:pt>
                  <c:pt idx="61">
                    <c:v>- / -</c:v>
                  </c:pt>
                  <c:pt idx="62">
                    <c:v>- / -</c:v>
                  </c:pt>
                  <c:pt idx="63">
                    <c:v>- / -</c:v>
                  </c:pt>
                  <c:pt idx="64">
                    <c:v>- / -</c:v>
                  </c:pt>
                  <c:pt idx="65">
                    <c:v>- / -</c:v>
                  </c:pt>
                  <c:pt idx="66">
                    <c:v>- / -</c:v>
                  </c:pt>
                  <c:pt idx="67">
                    <c:v>- / -</c:v>
                  </c:pt>
                  <c:pt idx="68">
                    <c:v>- / -</c:v>
                  </c:pt>
                  <c:pt idx="69">
                    <c:v>- / -</c:v>
                  </c:pt>
                  <c:pt idx="70">
                    <c:v>- / -</c:v>
                  </c:pt>
                  <c:pt idx="71">
                    <c:v>- / -</c:v>
                  </c:pt>
                  <c:pt idx="72">
                    <c:v>- / -</c:v>
                  </c:pt>
                  <c:pt idx="73">
                    <c:v>- / -</c:v>
                  </c:pt>
                  <c:pt idx="74">
                    <c:v>- / -</c:v>
                  </c:pt>
                  <c:pt idx="75">
                    <c:v>- / -</c:v>
                  </c:pt>
                  <c:pt idx="76">
                    <c:v>- / -</c:v>
                  </c:pt>
                  <c:pt idx="77">
                    <c:v>- / -</c:v>
                  </c:pt>
                  <c:pt idx="78">
                    <c:v>- / -</c:v>
                  </c:pt>
                  <c:pt idx="79">
                    <c:v>- / -</c:v>
                  </c:pt>
                  <c:pt idx="80">
                    <c:v>- / -</c:v>
                  </c:pt>
                  <c:pt idx="81">
                    <c:v>- / -</c:v>
                  </c:pt>
                  <c:pt idx="82">
                    <c:v>- / -</c:v>
                  </c:pt>
                  <c:pt idx="83">
                    <c:v>- / -</c:v>
                  </c:pt>
                  <c:pt idx="84">
                    <c:v>- / -</c:v>
                  </c:pt>
                  <c:pt idx="85">
                    <c:v>- / -</c:v>
                  </c:pt>
                  <c:pt idx="86">
                    <c:v>- / -</c:v>
                  </c:pt>
                  <c:pt idx="87">
                    <c:v>- / -</c:v>
                  </c:pt>
                  <c:pt idx="88">
                    <c:v>- / -</c:v>
                  </c:pt>
                  <c:pt idx="89">
                    <c:v>- / -</c:v>
                  </c:pt>
                  <c:pt idx="90">
                    <c:v>- / -</c:v>
                  </c:pt>
                  <c:pt idx="91">
                    <c:v>- / -</c:v>
                  </c:pt>
                  <c:pt idx="92">
                    <c:v>- / -</c:v>
                  </c:pt>
                  <c:pt idx="93">
                    <c:v>- / -</c:v>
                  </c:pt>
                  <c:pt idx="94">
                    <c:v>- / -</c:v>
                  </c:pt>
                  <c:pt idx="95">
                    <c:v>- / -</c:v>
                  </c:pt>
                  <c:pt idx="96">
                    <c:v>- / -</c:v>
                  </c:pt>
                  <c:pt idx="97">
                    <c:v>- / -</c:v>
                  </c:pt>
                  <c:pt idx="98">
                    <c:v>- / -</c:v>
                  </c:pt>
                  <c:pt idx="99">
                    <c:v>- / -</c:v>
                  </c:pt>
                  <c:pt idx="100">
                    <c:v>- / -</c:v>
                  </c:pt>
                  <c:pt idx="101">
                    <c:v>- / -</c:v>
                  </c:pt>
                  <c:pt idx="102">
                    <c:v>- / -</c:v>
                  </c:pt>
                  <c:pt idx="103">
                    <c:v>- / -</c:v>
                  </c:pt>
                  <c:pt idx="104">
                    <c:v>- / -</c:v>
                  </c:pt>
                  <c:pt idx="105">
                    <c:v>- / -</c:v>
                  </c:pt>
                  <c:pt idx="106">
                    <c:v>- / -</c:v>
                  </c:pt>
                  <c:pt idx="107">
                    <c:v>- / -</c:v>
                  </c:pt>
                  <c:pt idx="108">
                    <c:v>- / -</c:v>
                  </c:pt>
                  <c:pt idx="109">
                    <c:v>- / -</c:v>
                  </c:pt>
                  <c:pt idx="110">
                    <c:v>- / -</c:v>
                  </c:pt>
                  <c:pt idx="111">
                    <c:v>- / -</c:v>
                  </c:pt>
                  <c:pt idx="112">
                    <c:v>- / -</c:v>
                  </c:pt>
                  <c:pt idx="113">
                    <c:v>- / -</c:v>
                  </c:pt>
                  <c:pt idx="114">
                    <c:v>- / -</c:v>
                  </c:pt>
                  <c:pt idx="115">
                    <c:v>- / -</c:v>
                  </c:pt>
                  <c:pt idx="116">
                    <c:v>- / -</c:v>
                  </c:pt>
                  <c:pt idx="117">
                    <c:v>- / -</c:v>
                  </c:pt>
                  <c:pt idx="118">
                    <c:v>- / -</c:v>
                  </c:pt>
                  <c:pt idx="119">
                    <c:v>- / -</c:v>
                  </c:pt>
                  <c:pt idx="120">
                    <c:v>- / -</c:v>
                  </c:pt>
                  <c:pt idx="121">
                    <c:v>- / -</c:v>
                  </c:pt>
                  <c:pt idx="122">
                    <c:v>- / -</c:v>
                  </c:pt>
                  <c:pt idx="123">
                    <c:v>- / -</c:v>
                  </c:pt>
                  <c:pt idx="124">
                    <c:v>- / -</c:v>
                  </c:pt>
                  <c:pt idx="125">
                    <c:v>- / -</c:v>
                  </c:pt>
                  <c:pt idx="126">
                    <c:v>- / -</c:v>
                  </c:pt>
                  <c:pt idx="127">
                    <c:v>- / -</c:v>
                  </c:pt>
                  <c:pt idx="128">
                    <c:v>- / -</c:v>
                  </c:pt>
                  <c:pt idx="129">
                    <c:v>- / -</c:v>
                  </c:pt>
                  <c:pt idx="130">
                    <c:v>- / -</c:v>
                  </c:pt>
                  <c:pt idx="131">
                    <c:v>- / -</c:v>
                  </c:pt>
                  <c:pt idx="132">
                    <c:v>- / -</c:v>
                  </c:pt>
                  <c:pt idx="133">
                    <c:v>- / -</c:v>
                  </c:pt>
                  <c:pt idx="134">
                    <c:v>- / -</c:v>
                  </c:pt>
                  <c:pt idx="135">
                    <c:v>- / -</c:v>
                  </c:pt>
                  <c:pt idx="136">
                    <c:v>- / -</c:v>
                  </c:pt>
                  <c:pt idx="137">
                    <c:v>- / -</c:v>
                  </c:pt>
                  <c:pt idx="138">
                    <c:v>- / -</c:v>
                  </c:pt>
                  <c:pt idx="139">
                    <c:v>- / -</c:v>
                  </c:pt>
                  <c:pt idx="140">
                    <c:v>- / -</c:v>
                  </c:pt>
                  <c:pt idx="141">
                    <c:v>- / -</c:v>
                  </c:pt>
                  <c:pt idx="142">
                    <c:v>- / -</c:v>
                  </c:pt>
                  <c:pt idx="143">
                    <c:v>- / -</c:v>
                  </c:pt>
                  <c:pt idx="144">
                    <c:v>- / -</c:v>
                  </c:pt>
                  <c:pt idx="145">
                    <c:v>- / -</c:v>
                  </c:pt>
                  <c:pt idx="146">
                    <c:v>- / -</c:v>
                  </c:pt>
                  <c:pt idx="147">
                    <c:v>- / -</c:v>
                  </c:pt>
                  <c:pt idx="148">
                    <c:v>- / -</c:v>
                  </c:pt>
                  <c:pt idx="149">
                    <c:v>- / -</c:v>
                  </c:pt>
                  <c:pt idx="150">
                    <c:v>- / -</c:v>
                  </c:pt>
                  <c:pt idx="151">
                    <c:v>- / -</c:v>
                  </c:pt>
                  <c:pt idx="152">
                    <c:v>- / -</c:v>
                  </c:pt>
                  <c:pt idx="153">
                    <c:v>- / -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EA8B-4F42-90B6-18B2446365B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981188008"/>
        <c:axId val="981188336"/>
      </c:scatterChart>
      <c:valAx>
        <c:axId val="98118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Plot!$F$4</c:f>
              <c:strCache>
                <c:ptCount val="1"/>
                <c:pt idx="0">
                  <c:v>-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188336"/>
        <c:crosses val="autoZero"/>
        <c:crossBetween val="midCat"/>
      </c:valAx>
      <c:valAx>
        <c:axId val="9811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Plot!$F$5</c:f>
              <c:strCache>
                <c:ptCount val="1"/>
                <c:pt idx="0">
                  <c:v>-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18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</xdr:row>
          <xdr:rowOff>419100</xdr:rowOff>
        </xdr:from>
        <xdr:to>
          <xdr:col>4</xdr:col>
          <xdr:colOff>2238375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428625</xdr:rowOff>
        </xdr:from>
        <xdr:to>
          <xdr:col>5</xdr:col>
          <xdr:colOff>1162050</xdr:colOff>
          <xdr:row>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14286</xdr:colOff>
      <xdr:row>8</xdr:row>
      <xdr:rowOff>190499</xdr:rowOff>
    </xdr:from>
    <xdr:to>
      <xdr:col>8</xdr:col>
      <xdr:colOff>5210174</xdr:colOff>
      <xdr:row>41</xdr:row>
      <xdr:rowOff>95250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618"/>
  <sheetViews>
    <sheetView tabSelected="1" zoomScale="130" zoomScaleNormal="130" workbookViewId="0">
      <pane xSplit="6" topLeftCell="G1" activePane="topRight" state="frozen"/>
      <selection pane="topRight" activeCell="H6" sqref="H6"/>
    </sheetView>
  </sheetViews>
  <sheetFormatPr defaultColWidth="24.5703125" defaultRowHeight="15.75" x14ac:dyDescent="0.3"/>
  <cols>
    <col min="1" max="1" width="5.5703125" style="5" customWidth="1"/>
    <col min="2" max="2" width="2.42578125" style="2" customWidth="1"/>
    <col min="3" max="3" width="27.7109375" style="2" customWidth="1"/>
    <col min="4" max="4" width="17.42578125" style="2" customWidth="1"/>
    <col min="5" max="5" width="9" style="2" customWidth="1"/>
    <col min="6" max="6" width="11.7109375" style="2" customWidth="1"/>
    <col min="7" max="7" width="11.42578125" style="37" customWidth="1"/>
    <col min="8" max="8" width="19.42578125" style="37" customWidth="1"/>
    <col min="9" max="9" width="65" style="37" customWidth="1"/>
    <col min="10" max="10" width="24.5703125" style="2"/>
    <col min="11" max="11" width="19.140625" style="2" customWidth="1"/>
    <col min="12" max="12" width="20.5703125" style="2" customWidth="1"/>
    <col min="13" max="13" width="16" style="2" bestFit="1" customWidth="1"/>
    <col min="14" max="14" width="12.7109375" style="2" customWidth="1"/>
    <col min="15" max="15" width="17.28515625" style="2" customWidth="1"/>
    <col min="16" max="19" width="17.42578125" style="2" customWidth="1"/>
    <col min="20" max="20" width="13.85546875" style="2" customWidth="1"/>
    <col min="21" max="21" width="24.5703125" style="2"/>
    <col min="22" max="22" width="14" style="2" customWidth="1"/>
    <col min="23" max="16384" width="24.5703125" style="2"/>
  </cols>
  <sheetData>
    <row r="2" spans="1:29" s="3" customFormat="1" ht="39.75" x14ac:dyDescent="0.65">
      <c r="A2" s="10"/>
      <c r="B2" s="51" t="s">
        <v>5</v>
      </c>
      <c r="C2" s="51"/>
      <c r="D2" s="51"/>
      <c r="G2" s="36"/>
      <c r="H2" s="36"/>
      <c r="I2" s="36"/>
    </row>
    <row r="3" spans="1:29" ht="3.75" customHeight="1" x14ac:dyDescent="0.3"/>
    <row r="4" spans="1:29" x14ac:dyDescent="0.3">
      <c r="B4" s="1" t="s">
        <v>0</v>
      </c>
      <c r="C4" s="4" t="s">
        <v>55</v>
      </c>
    </row>
    <row r="5" spans="1:29" ht="6" customHeight="1" x14ac:dyDescent="0.3">
      <c r="B5" s="1"/>
    </row>
    <row r="6" spans="1:29" s="8" customFormat="1" ht="16.5" x14ac:dyDescent="0.3">
      <c r="A6" s="7"/>
      <c r="B6" s="1" t="s">
        <v>9</v>
      </c>
      <c r="C6" s="11" t="str">
        <f>"C:\HTAP-Training\"&amp;C4&amp;"\HTAP-prm-output.csv"</f>
        <v>C:\HTAP-Training\Exercise_7\HTAP-prm-output.csv</v>
      </c>
      <c r="G6" s="38"/>
      <c r="H6" s="38"/>
      <c r="I6" s="38"/>
      <c r="T6" s="54"/>
    </row>
    <row r="8" spans="1:29" s="6" customFormat="1" x14ac:dyDescent="0.3">
      <c r="A8" s="5"/>
      <c r="B8" s="5" t="s">
        <v>8</v>
      </c>
      <c r="G8" s="39"/>
      <c r="H8" s="39"/>
      <c r="I8" s="39"/>
    </row>
    <row r="9" spans="1:29" s="33" customFormat="1" ht="53.25" customHeight="1" x14ac:dyDescent="0.25">
      <c r="A9" s="29" t="s">
        <v>27</v>
      </c>
      <c r="B9" s="30" t="s">
        <v>31</v>
      </c>
      <c r="C9" s="31" t="s">
        <v>30</v>
      </c>
      <c r="D9" s="31" t="s">
        <v>32</v>
      </c>
      <c r="E9" s="31" t="s">
        <v>33</v>
      </c>
      <c r="F9" s="31" t="s">
        <v>34</v>
      </c>
      <c r="G9" s="40" t="s">
        <v>49</v>
      </c>
      <c r="H9" s="40" t="s">
        <v>53</v>
      </c>
      <c r="I9" s="40" t="s">
        <v>35</v>
      </c>
      <c r="J9" s="31" t="s">
        <v>36</v>
      </c>
      <c r="K9" s="31" t="s">
        <v>37</v>
      </c>
      <c r="L9" s="31" t="s">
        <v>38</v>
      </c>
      <c r="M9" s="31" t="s">
        <v>39</v>
      </c>
      <c r="N9" s="31" t="s">
        <v>40</v>
      </c>
      <c r="O9" s="31" t="s">
        <v>41</v>
      </c>
      <c r="P9" s="31" t="s">
        <v>42</v>
      </c>
      <c r="Q9" s="31" t="s">
        <v>43</v>
      </c>
      <c r="R9" s="31" t="s">
        <v>44</v>
      </c>
      <c r="S9" s="31" t="s">
        <v>45</v>
      </c>
      <c r="T9" s="31" t="s">
        <v>46</v>
      </c>
      <c r="U9" s="31" t="s">
        <v>54</v>
      </c>
      <c r="V9" s="31" t="s">
        <v>47</v>
      </c>
      <c r="W9" s="31" t="s">
        <v>48</v>
      </c>
      <c r="X9" s="31" t="s">
        <v>52</v>
      </c>
      <c r="Y9" s="31"/>
      <c r="Z9" s="31"/>
      <c r="AA9" s="31"/>
      <c r="AB9" s="31"/>
      <c r="AC9" s="32"/>
    </row>
    <row r="10" spans="1:29" s="5" customFormat="1" ht="21" hidden="1" customHeight="1" x14ac:dyDescent="0.3">
      <c r="A10" s="12" t="s">
        <v>10</v>
      </c>
      <c r="B10" s="9" t="e">
        <f>MATCH(B9,Columns!$A$1:$FV$1,0)</f>
        <v>#N/A</v>
      </c>
      <c r="C10" s="9" t="e">
        <f>MATCH(C9,Columns!$A$1:$FV$1,0)</f>
        <v>#N/A</v>
      </c>
      <c r="D10" s="9" t="e">
        <f>MATCH(D9,Columns!$A$1:$FV$1,0)</f>
        <v>#N/A</v>
      </c>
      <c r="E10" s="9" t="e">
        <f>MATCH(E9,Columns!$A$1:$FV$1,0)</f>
        <v>#N/A</v>
      </c>
      <c r="F10" s="9" t="e">
        <f>MATCH(F9,Columns!$A$1:$FV$1,0)</f>
        <v>#N/A</v>
      </c>
      <c r="G10" s="41" t="e">
        <f>MATCH(G9,Columns!$A$1:$FV$1,0)</f>
        <v>#N/A</v>
      </c>
      <c r="H10" s="41" t="e">
        <f>MATCH(H9,Columns!$A$1:$FV$1,0)</f>
        <v>#N/A</v>
      </c>
      <c r="I10" s="41" t="e">
        <f>MATCH(I9,Columns!$A$1:$FV$1,0)</f>
        <v>#N/A</v>
      </c>
      <c r="J10" s="9" t="e">
        <f>MATCH(J9,Columns!$A$1:$FV$1,0)</f>
        <v>#N/A</v>
      </c>
      <c r="K10" s="9" t="e">
        <f>MATCH(K9,Columns!$A$1:$FV$1,0)</f>
        <v>#N/A</v>
      </c>
      <c r="L10" s="9" t="e">
        <f>MATCH(L9,Columns!$A$1:$FV$1,0)</f>
        <v>#N/A</v>
      </c>
      <c r="M10" s="9" t="e">
        <f>MATCH(M9,Columns!$A$1:$FV$1,0)</f>
        <v>#N/A</v>
      </c>
      <c r="N10" s="9" t="e">
        <f>MATCH(N9,Columns!$A$1:$FV$1,0)</f>
        <v>#N/A</v>
      </c>
      <c r="O10" s="9" t="e">
        <f>MATCH(O9,Columns!$A$1:$FV$1,0)</f>
        <v>#N/A</v>
      </c>
      <c r="P10" s="9" t="e">
        <f>MATCH(P9,Columns!$A$1:$FV$1,0)</f>
        <v>#N/A</v>
      </c>
      <c r="Q10" s="9" t="e">
        <f>MATCH(Q9,Columns!$A$1:$FV$1,0)</f>
        <v>#N/A</v>
      </c>
      <c r="R10" s="9" t="e">
        <f>MATCH(R9,Columns!$A$1:$FV$1,0)</f>
        <v>#N/A</v>
      </c>
      <c r="S10" s="9" t="e">
        <f>MATCH(S9,Columns!$A$1:$FV$1,0)</f>
        <v>#N/A</v>
      </c>
      <c r="T10" s="9" t="e">
        <f>MATCH(T9,Columns!$A$1:$FV$1,0)</f>
        <v>#N/A</v>
      </c>
      <c r="U10" s="9" t="e">
        <f>MATCH(U9,Columns!$A$1:$FV$1,0)</f>
        <v>#N/A</v>
      </c>
      <c r="V10" s="9" t="e">
        <f>MATCH(V9,Columns!$A$1:$FV$1,0)</f>
        <v>#N/A</v>
      </c>
      <c r="W10" s="9" t="e">
        <f>MATCH(W9,Columns!$A$1:$FV$1,0)</f>
        <v>#N/A</v>
      </c>
      <c r="X10" s="9" t="e">
        <f>MATCH(X9,Columns!$A$1:$FV$1,0)</f>
        <v>#N/A</v>
      </c>
      <c r="Y10" s="9" t="e">
        <f>MATCH(Y9,Columns!$A$1:$FV$1,0)</f>
        <v>#N/A</v>
      </c>
      <c r="Z10" s="9" t="e">
        <f>MATCH(Z9,Columns!$A$1:$FV$1,0)</f>
        <v>#N/A</v>
      </c>
      <c r="AA10" s="9" t="e">
        <f>MATCH(AA9,Columns!$A$1:$FV$1,0)</f>
        <v>#N/A</v>
      </c>
      <c r="AB10" s="9" t="e">
        <f>MATCH(AB9,Columns!$A$1:$FV$1,0)</f>
        <v>#N/A</v>
      </c>
      <c r="AC10" s="9" t="e">
        <f>MATCH(AC9,Columns!$A$1:$FV$1,0)</f>
        <v>#N/A</v>
      </c>
    </row>
    <row r="11" spans="1:29" s="35" customFormat="1" ht="15" x14ac:dyDescent="0.25">
      <c r="A11" s="34">
        <v>1</v>
      </c>
      <c r="B11" s="42" t="s">
        <v>28</v>
      </c>
      <c r="C11" s="43" t="s">
        <v>29</v>
      </c>
      <c r="D11" s="43" t="s">
        <v>29</v>
      </c>
      <c r="E11" s="43" t="s">
        <v>29</v>
      </c>
      <c r="F11" s="43" t="s">
        <v>29</v>
      </c>
      <c r="G11" s="43" t="s">
        <v>29</v>
      </c>
      <c r="H11" s="43" t="s">
        <v>29</v>
      </c>
      <c r="I11" s="43" t="s">
        <v>29</v>
      </c>
      <c r="J11" s="43" t="s">
        <v>29</v>
      </c>
      <c r="K11" s="43" t="s">
        <v>29</v>
      </c>
      <c r="L11" s="43" t="s">
        <v>29</v>
      </c>
      <c r="M11" s="43" t="s">
        <v>29</v>
      </c>
      <c r="N11" s="43" t="s">
        <v>29</v>
      </c>
      <c r="O11" s="44" t="s">
        <v>29</v>
      </c>
      <c r="P11" s="43" t="s">
        <v>29</v>
      </c>
      <c r="Q11" s="43" t="s">
        <v>29</v>
      </c>
      <c r="R11" s="43" t="s">
        <v>29</v>
      </c>
      <c r="S11" s="43" t="s">
        <v>29</v>
      </c>
      <c r="T11" s="43" t="s">
        <v>29</v>
      </c>
      <c r="U11" s="43" t="s">
        <v>29</v>
      </c>
      <c r="V11" s="43" t="s">
        <v>29</v>
      </c>
      <c r="W11" s="43" t="s">
        <v>29</v>
      </c>
      <c r="X11" s="43" t="s">
        <v>29</v>
      </c>
      <c r="Y11" s="43" t="s">
        <v>29</v>
      </c>
      <c r="Z11" s="43" t="s">
        <v>29</v>
      </c>
      <c r="AA11" s="43" t="s">
        <v>29</v>
      </c>
      <c r="AB11" s="43" t="s">
        <v>29</v>
      </c>
      <c r="AC11" s="43" t="s">
        <v>29</v>
      </c>
    </row>
    <row r="12" spans="1:29" x14ac:dyDescent="0.3">
      <c r="A12" s="5">
        <f>A11+1</f>
        <v>2</v>
      </c>
      <c r="B12" s="45" t="str">
        <f t="shared" ref="B12:K21" ca="1" si="0">IFERROR(IF(INDIRECT("raw!R"&amp;$A12&amp;"C"&amp;B$10,FALSE)&lt;&gt;"",INDIRECT("raw!R"&amp;$A12&amp;"C"&amp;B$10,FALSE),""),"")</f>
        <v/>
      </c>
      <c r="C12" s="46" t="str">
        <f t="shared" ca="1" si="0"/>
        <v/>
      </c>
      <c r="D12" s="46" t="str">
        <f t="shared" ca="1" si="0"/>
        <v/>
      </c>
      <c r="E12" s="45" t="str">
        <f t="shared" ca="1" si="0"/>
        <v/>
      </c>
      <c r="F12" s="46" t="str">
        <f t="shared" ca="1" si="0"/>
        <v/>
      </c>
      <c r="G12" s="46" t="str">
        <f t="shared" ca="1" si="0"/>
        <v/>
      </c>
      <c r="H12" s="46" t="str">
        <f t="shared" ca="1" si="0"/>
        <v/>
      </c>
      <c r="I12" s="46" t="str">
        <f t="shared" ca="1" si="0"/>
        <v/>
      </c>
      <c r="J12" s="47" t="str">
        <f t="shared" ca="1" si="0"/>
        <v/>
      </c>
      <c r="K12" s="47" t="str">
        <f t="shared" ca="1" si="0"/>
        <v/>
      </c>
      <c r="L12" s="47" t="str">
        <f t="shared" ref="L12:U21" ca="1" si="1">IFERROR(IF(INDIRECT("raw!R"&amp;$A12&amp;"C"&amp;L$10,FALSE)&lt;&gt;"",INDIRECT("raw!R"&amp;$A12&amp;"C"&amp;L$10,FALSE),""),"")</f>
        <v/>
      </c>
      <c r="M12" s="47" t="str">
        <f t="shared" ca="1" si="1"/>
        <v/>
      </c>
      <c r="N12" s="47" t="str">
        <f t="shared" ca="1" si="1"/>
        <v/>
      </c>
      <c r="O12" s="47" t="str">
        <f t="shared" ca="1" si="1"/>
        <v/>
      </c>
      <c r="P12" s="47" t="str">
        <f t="shared" ca="1" si="1"/>
        <v/>
      </c>
      <c r="Q12" s="47" t="str">
        <f t="shared" ca="1" si="1"/>
        <v/>
      </c>
      <c r="R12" s="47" t="str">
        <f t="shared" ca="1" si="1"/>
        <v/>
      </c>
      <c r="S12" s="47" t="str">
        <f t="shared" ca="1" si="1"/>
        <v/>
      </c>
      <c r="T12" s="47" t="str">
        <f t="shared" ca="1" si="1"/>
        <v/>
      </c>
      <c r="U12" s="47" t="str">
        <f t="shared" ca="1" si="1"/>
        <v/>
      </c>
      <c r="V12" s="47" t="str">
        <f t="shared" ref="V12:AC21" ca="1" si="2">IFERROR(IF(INDIRECT("raw!R"&amp;$A12&amp;"C"&amp;V$10,FALSE)&lt;&gt;"",INDIRECT("raw!R"&amp;$A12&amp;"C"&amp;V$10,FALSE),""),"")</f>
        <v/>
      </c>
      <c r="W12" s="47" t="str">
        <f t="shared" ca="1" si="2"/>
        <v/>
      </c>
      <c r="X12" s="47" t="str">
        <f t="shared" ca="1" si="2"/>
        <v/>
      </c>
      <c r="Y12" s="47" t="str">
        <f t="shared" ca="1" si="2"/>
        <v/>
      </c>
      <c r="Z12" s="47" t="str">
        <f t="shared" ca="1" si="2"/>
        <v/>
      </c>
      <c r="AA12" s="47" t="str">
        <f t="shared" ca="1" si="2"/>
        <v/>
      </c>
      <c r="AB12" s="47" t="str">
        <f t="shared" ca="1" si="2"/>
        <v/>
      </c>
      <c r="AC12" s="47" t="str">
        <f t="shared" ca="1" si="2"/>
        <v/>
      </c>
    </row>
    <row r="13" spans="1:29" x14ac:dyDescent="0.3">
      <c r="A13" s="5">
        <f t="shared" ref="A13:A76" si="3">A12+1</f>
        <v>3</v>
      </c>
      <c r="B13" s="45" t="str">
        <f t="shared" ca="1" si="0"/>
        <v/>
      </c>
      <c r="C13" s="46" t="str">
        <f t="shared" ca="1" si="0"/>
        <v/>
      </c>
      <c r="D13" s="46" t="str">
        <f t="shared" ca="1" si="0"/>
        <v/>
      </c>
      <c r="E13" s="45" t="str">
        <f t="shared" ca="1" si="0"/>
        <v/>
      </c>
      <c r="F13" s="46" t="str">
        <f t="shared" ca="1" si="0"/>
        <v/>
      </c>
      <c r="G13" s="46" t="str">
        <f t="shared" ca="1" si="0"/>
        <v/>
      </c>
      <c r="H13" s="46" t="str">
        <f t="shared" ca="1" si="0"/>
        <v/>
      </c>
      <c r="I13" s="46" t="str">
        <f t="shared" ca="1" si="0"/>
        <v/>
      </c>
      <c r="J13" s="47" t="str">
        <f t="shared" ca="1" si="0"/>
        <v/>
      </c>
      <c r="K13" s="47" t="str">
        <f t="shared" ca="1" si="0"/>
        <v/>
      </c>
      <c r="L13" s="47" t="str">
        <f t="shared" ca="1" si="1"/>
        <v/>
      </c>
      <c r="M13" s="47" t="str">
        <f t="shared" ca="1" si="1"/>
        <v/>
      </c>
      <c r="N13" s="47" t="str">
        <f t="shared" ca="1" si="1"/>
        <v/>
      </c>
      <c r="O13" s="47" t="str">
        <f t="shared" ca="1" si="1"/>
        <v/>
      </c>
      <c r="P13" s="47" t="str">
        <f t="shared" ca="1" si="1"/>
        <v/>
      </c>
      <c r="Q13" s="47" t="str">
        <f t="shared" ca="1" si="1"/>
        <v/>
      </c>
      <c r="R13" s="47" t="str">
        <f t="shared" ca="1" si="1"/>
        <v/>
      </c>
      <c r="S13" s="47" t="str">
        <f t="shared" ca="1" si="1"/>
        <v/>
      </c>
      <c r="T13" s="47" t="str">
        <f t="shared" ca="1" si="1"/>
        <v/>
      </c>
      <c r="U13" s="47" t="str">
        <f t="shared" ca="1" si="1"/>
        <v/>
      </c>
      <c r="V13" s="47" t="str">
        <f t="shared" ca="1" si="2"/>
        <v/>
      </c>
      <c r="W13" s="47" t="str">
        <f t="shared" ca="1" si="2"/>
        <v/>
      </c>
      <c r="X13" s="47" t="str">
        <f t="shared" ca="1" si="2"/>
        <v/>
      </c>
      <c r="Y13" s="47" t="str">
        <f t="shared" ca="1" si="2"/>
        <v/>
      </c>
      <c r="Z13" s="47" t="str">
        <f t="shared" ca="1" si="2"/>
        <v/>
      </c>
      <c r="AA13" s="47" t="str">
        <f t="shared" ca="1" si="2"/>
        <v/>
      </c>
      <c r="AB13" s="47" t="str">
        <f t="shared" ca="1" si="2"/>
        <v/>
      </c>
      <c r="AC13" s="47" t="str">
        <f t="shared" ca="1" si="2"/>
        <v/>
      </c>
    </row>
    <row r="14" spans="1:29" x14ac:dyDescent="0.3">
      <c r="A14" s="5">
        <f t="shared" si="3"/>
        <v>4</v>
      </c>
      <c r="B14" s="45" t="str">
        <f t="shared" ca="1" si="0"/>
        <v/>
      </c>
      <c r="C14" s="46" t="str">
        <f t="shared" ca="1" si="0"/>
        <v/>
      </c>
      <c r="D14" s="46" t="str">
        <f t="shared" ca="1" si="0"/>
        <v/>
      </c>
      <c r="E14" s="45" t="str">
        <f t="shared" ca="1" si="0"/>
        <v/>
      </c>
      <c r="F14" s="46" t="str">
        <f t="shared" ca="1" si="0"/>
        <v/>
      </c>
      <c r="G14" s="46" t="str">
        <f t="shared" ca="1" si="0"/>
        <v/>
      </c>
      <c r="H14" s="46" t="str">
        <f t="shared" ca="1" si="0"/>
        <v/>
      </c>
      <c r="I14" s="46" t="str">
        <f t="shared" ca="1" si="0"/>
        <v/>
      </c>
      <c r="J14" s="47" t="str">
        <f t="shared" ca="1" si="0"/>
        <v/>
      </c>
      <c r="K14" s="47" t="str">
        <f t="shared" ca="1" si="0"/>
        <v/>
      </c>
      <c r="L14" s="47" t="str">
        <f t="shared" ca="1" si="1"/>
        <v/>
      </c>
      <c r="M14" s="47" t="str">
        <f t="shared" ca="1" si="1"/>
        <v/>
      </c>
      <c r="N14" s="47" t="str">
        <f t="shared" ca="1" si="1"/>
        <v/>
      </c>
      <c r="O14" s="47" t="str">
        <f t="shared" ca="1" si="1"/>
        <v/>
      </c>
      <c r="P14" s="47" t="str">
        <f t="shared" ca="1" si="1"/>
        <v/>
      </c>
      <c r="Q14" s="47" t="str">
        <f t="shared" ca="1" si="1"/>
        <v/>
      </c>
      <c r="R14" s="47" t="str">
        <f t="shared" ca="1" si="1"/>
        <v/>
      </c>
      <c r="S14" s="47" t="str">
        <f t="shared" ca="1" si="1"/>
        <v/>
      </c>
      <c r="T14" s="47" t="str">
        <f t="shared" ca="1" si="1"/>
        <v/>
      </c>
      <c r="U14" s="47" t="str">
        <f t="shared" ca="1" si="1"/>
        <v/>
      </c>
      <c r="V14" s="47" t="str">
        <f t="shared" ca="1" si="2"/>
        <v/>
      </c>
      <c r="W14" s="47" t="str">
        <f t="shared" ca="1" si="2"/>
        <v/>
      </c>
      <c r="X14" s="47" t="str">
        <f t="shared" ca="1" si="2"/>
        <v/>
      </c>
      <c r="Y14" s="47" t="str">
        <f t="shared" ca="1" si="2"/>
        <v/>
      </c>
      <c r="Z14" s="47" t="str">
        <f t="shared" ca="1" si="2"/>
        <v/>
      </c>
      <c r="AA14" s="47" t="str">
        <f t="shared" ca="1" si="2"/>
        <v/>
      </c>
      <c r="AB14" s="47" t="str">
        <f t="shared" ca="1" si="2"/>
        <v/>
      </c>
      <c r="AC14" s="47" t="str">
        <f t="shared" ca="1" si="2"/>
        <v/>
      </c>
    </row>
    <row r="15" spans="1:29" x14ac:dyDescent="0.3">
      <c r="A15" s="5">
        <f t="shared" si="3"/>
        <v>5</v>
      </c>
      <c r="B15" s="45" t="str">
        <f t="shared" ca="1" si="0"/>
        <v/>
      </c>
      <c r="C15" s="46" t="str">
        <f t="shared" ca="1" si="0"/>
        <v/>
      </c>
      <c r="D15" s="46" t="str">
        <f t="shared" ca="1" si="0"/>
        <v/>
      </c>
      <c r="E15" s="45" t="str">
        <f t="shared" ca="1" si="0"/>
        <v/>
      </c>
      <c r="F15" s="46" t="str">
        <f t="shared" ca="1" si="0"/>
        <v/>
      </c>
      <c r="G15" s="46" t="str">
        <f t="shared" ca="1" si="0"/>
        <v/>
      </c>
      <c r="H15" s="46" t="str">
        <f t="shared" ca="1" si="0"/>
        <v/>
      </c>
      <c r="I15" s="46" t="str">
        <f t="shared" ca="1" si="0"/>
        <v/>
      </c>
      <c r="J15" s="47" t="str">
        <f t="shared" ca="1" si="0"/>
        <v/>
      </c>
      <c r="K15" s="47" t="str">
        <f t="shared" ca="1" si="0"/>
        <v/>
      </c>
      <c r="L15" s="47" t="str">
        <f t="shared" ca="1" si="1"/>
        <v/>
      </c>
      <c r="M15" s="47" t="str">
        <f t="shared" ca="1" si="1"/>
        <v/>
      </c>
      <c r="N15" s="47" t="str">
        <f t="shared" ca="1" si="1"/>
        <v/>
      </c>
      <c r="O15" s="47" t="str">
        <f t="shared" ca="1" si="1"/>
        <v/>
      </c>
      <c r="P15" s="47" t="str">
        <f t="shared" ca="1" si="1"/>
        <v/>
      </c>
      <c r="Q15" s="47" t="str">
        <f t="shared" ca="1" si="1"/>
        <v/>
      </c>
      <c r="R15" s="47" t="str">
        <f t="shared" ca="1" si="1"/>
        <v/>
      </c>
      <c r="S15" s="47" t="str">
        <f t="shared" ca="1" si="1"/>
        <v/>
      </c>
      <c r="T15" s="47" t="str">
        <f t="shared" ca="1" si="1"/>
        <v/>
      </c>
      <c r="U15" s="47" t="str">
        <f t="shared" ca="1" si="1"/>
        <v/>
      </c>
      <c r="V15" s="47" t="str">
        <f t="shared" ca="1" si="2"/>
        <v/>
      </c>
      <c r="W15" s="47" t="str">
        <f t="shared" ca="1" si="2"/>
        <v/>
      </c>
      <c r="X15" s="47" t="str">
        <f t="shared" ca="1" si="2"/>
        <v/>
      </c>
      <c r="Y15" s="47" t="str">
        <f t="shared" ca="1" si="2"/>
        <v/>
      </c>
      <c r="Z15" s="47" t="str">
        <f t="shared" ca="1" si="2"/>
        <v/>
      </c>
      <c r="AA15" s="47" t="str">
        <f t="shared" ca="1" si="2"/>
        <v/>
      </c>
      <c r="AB15" s="47" t="str">
        <f t="shared" ca="1" si="2"/>
        <v/>
      </c>
      <c r="AC15" s="47" t="str">
        <f t="shared" ca="1" si="2"/>
        <v/>
      </c>
    </row>
    <row r="16" spans="1:29" x14ac:dyDescent="0.3">
      <c r="A16" s="5">
        <f t="shared" si="3"/>
        <v>6</v>
      </c>
      <c r="B16" s="45" t="str">
        <f t="shared" ca="1" si="0"/>
        <v/>
      </c>
      <c r="C16" s="46" t="str">
        <f t="shared" ca="1" si="0"/>
        <v/>
      </c>
      <c r="D16" s="46" t="str">
        <f t="shared" ca="1" si="0"/>
        <v/>
      </c>
      <c r="E16" s="45" t="str">
        <f t="shared" ca="1" si="0"/>
        <v/>
      </c>
      <c r="F16" s="46" t="str">
        <f t="shared" ca="1" si="0"/>
        <v/>
      </c>
      <c r="G16" s="46" t="str">
        <f t="shared" ca="1" si="0"/>
        <v/>
      </c>
      <c r="H16" s="46" t="str">
        <f t="shared" ca="1" si="0"/>
        <v/>
      </c>
      <c r="I16" s="46" t="str">
        <f t="shared" ca="1" si="0"/>
        <v/>
      </c>
      <c r="J16" s="47" t="str">
        <f t="shared" ca="1" si="0"/>
        <v/>
      </c>
      <c r="K16" s="47" t="str">
        <f t="shared" ca="1" si="0"/>
        <v/>
      </c>
      <c r="L16" s="47" t="str">
        <f t="shared" ca="1" si="1"/>
        <v/>
      </c>
      <c r="M16" s="47" t="str">
        <f t="shared" ca="1" si="1"/>
        <v/>
      </c>
      <c r="N16" s="47" t="str">
        <f t="shared" ca="1" si="1"/>
        <v/>
      </c>
      <c r="O16" s="47" t="str">
        <f t="shared" ca="1" si="1"/>
        <v/>
      </c>
      <c r="P16" s="47" t="str">
        <f t="shared" ca="1" si="1"/>
        <v/>
      </c>
      <c r="Q16" s="47" t="str">
        <f t="shared" ca="1" si="1"/>
        <v/>
      </c>
      <c r="R16" s="47" t="str">
        <f t="shared" ca="1" si="1"/>
        <v/>
      </c>
      <c r="S16" s="47" t="str">
        <f t="shared" ca="1" si="1"/>
        <v/>
      </c>
      <c r="T16" s="47" t="str">
        <f t="shared" ca="1" si="1"/>
        <v/>
      </c>
      <c r="U16" s="47" t="str">
        <f t="shared" ca="1" si="1"/>
        <v/>
      </c>
      <c r="V16" s="47" t="str">
        <f t="shared" ca="1" si="2"/>
        <v/>
      </c>
      <c r="W16" s="47" t="str">
        <f t="shared" ca="1" si="2"/>
        <v/>
      </c>
      <c r="X16" s="47" t="str">
        <f t="shared" ca="1" si="2"/>
        <v/>
      </c>
      <c r="Y16" s="47" t="str">
        <f t="shared" ca="1" si="2"/>
        <v/>
      </c>
      <c r="Z16" s="47" t="str">
        <f t="shared" ca="1" si="2"/>
        <v/>
      </c>
      <c r="AA16" s="47" t="str">
        <f t="shared" ca="1" si="2"/>
        <v/>
      </c>
      <c r="AB16" s="47" t="str">
        <f t="shared" ca="1" si="2"/>
        <v/>
      </c>
      <c r="AC16" s="47" t="str">
        <f t="shared" ca="1" si="2"/>
        <v/>
      </c>
    </row>
    <row r="17" spans="1:29" x14ac:dyDescent="0.3">
      <c r="A17" s="5">
        <f t="shared" si="3"/>
        <v>7</v>
      </c>
      <c r="B17" s="45" t="str">
        <f t="shared" ca="1" si="0"/>
        <v/>
      </c>
      <c r="C17" s="46" t="str">
        <f t="shared" ca="1" si="0"/>
        <v/>
      </c>
      <c r="D17" s="46" t="str">
        <f t="shared" ca="1" si="0"/>
        <v/>
      </c>
      <c r="E17" s="45" t="str">
        <f t="shared" ca="1" si="0"/>
        <v/>
      </c>
      <c r="F17" s="46" t="str">
        <f t="shared" ca="1" si="0"/>
        <v/>
      </c>
      <c r="G17" s="46" t="str">
        <f t="shared" ca="1" si="0"/>
        <v/>
      </c>
      <c r="H17" s="46" t="str">
        <f t="shared" ca="1" si="0"/>
        <v/>
      </c>
      <c r="I17" s="46" t="str">
        <f t="shared" ca="1" si="0"/>
        <v/>
      </c>
      <c r="J17" s="47" t="str">
        <f t="shared" ca="1" si="0"/>
        <v/>
      </c>
      <c r="K17" s="47" t="str">
        <f t="shared" ca="1" si="0"/>
        <v/>
      </c>
      <c r="L17" s="47" t="str">
        <f t="shared" ca="1" si="1"/>
        <v/>
      </c>
      <c r="M17" s="47" t="str">
        <f t="shared" ca="1" si="1"/>
        <v/>
      </c>
      <c r="N17" s="47" t="str">
        <f t="shared" ca="1" si="1"/>
        <v/>
      </c>
      <c r="O17" s="47" t="str">
        <f t="shared" ca="1" si="1"/>
        <v/>
      </c>
      <c r="P17" s="47" t="str">
        <f t="shared" ca="1" si="1"/>
        <v/>
      </c>
      <c r="Q17" s="47" t="str">
        <f t="shared" ca="1" si="1"/>
        <v/>
      </c>
      <c r="R17" s="47" t="str">
        <f t="shared" ca="1" si="1"/>
        <v/>
      </c>
      <c r="S17" s="47" t="str">
        <f t="shared" ca="1" si="1"/>
        <v/>
      </c>
      <c r="T17" s="47" t="str">
        <f t="shared" ca="1" si="1"/>
        <v/>
      </c>
      <c r="U17" s="47" t="str">
        <f t="shared" ca="1" si="1"/>
        <v/>
      </c>
      <c r="V17" s="47" t="str">
        <f t="shared" ca="1" si="2"/>
        <v/>
      </c>
      <c r="W17" s="47" t="str">
        <f t="shared" ca="1" si="2"/>
        <v/>
      </c>
      <c r="X17" s="47" t="str">
        <f t="shared" ca="1" si="2"/>
        <v/>
      </c>
      <c r="Y17" s="47" t="str">
        <f t="shared" ca="1" si="2"/>
        <v/>
      </c>
      <c r="Z17" s="47" t="str">
        <f t="shared" ca="1" si="2"/>
        <v/>
      </c>
      <c r="AA17" s="47" t="str">
        <f t="shared" ca="1" si="2"/>
        <v/>
      </c>
      <c r="AB17" s="47" t="str">
        <f t="shared" ca="1" si="2"/>
        <v/>
      </c>
      <c r="AC17" s="47" t="str">
        <f t="shared" ca="1" si="2"/>
        <v/>
      </c>
    </row>
    <row r="18" spans="1:29" x14ac:dyDescent="0.3">
      <c r="A18" s="5">
        <f t="shared" si="3"/>
        <v>8</v>
      </c>
      <c r="B18" s="45" t="str">
        <f t="shared" ca="1" si="0"/>
        <v/>
      </c>
      <c r="C18" s="46" t="str">
        <f t="shared" ca="1" si="0"/>
        <v/>
      </c>
      <c r="D18" s="46" t="str">
        <f t="shared" ca="1" si="0"/>
        <v/>
      </c>
      <c r="E18" s="45" t="str">
        <f t="shared" ca="1" si="0"/>
        <v/>
      </c>
      <c r="F18" s="46" t="str">
        <f t="shared" ca="1" si="0"/>
        <v/>
      </c>
      <c r="G18" s="46" t="str">
        <f t="shared" ca="1" si="0"/>
        <v/>
      </c>
      <c r="H18" s="46" t="str">
        <f t="shared" ca="1" si="0"/>
        <v/>
      </c>
      <c r="I18" s="46" t="str">
        <f t="shared" ca="1" si="0"/>
        <v/>
      </c>
      <c r="J18" s="47" t="str">
        <f t="shared" ca="1" si="0"/>
        <v/>
      </c>
      <c r="K18" s="47" t="str">
        <f t="shared" ca="1" si="0"/>
        <v/>
      </c>
      <c r="L18" s="47" t="str">
        <f t="shared" ca="1" si="1"/>
        <v/>
      </c>
      <c r="M18" s="47" t="str">
        <f t="shared" ca="1" si="1"/>
        <v/>
      </c>
      <c r="N18" s="47" t="str">
        <f t="shared" ca="1" si="1"/>
        <v/>
      </c>
      <c r="O18" s="47" t="str">
        <f t="shared" ca="1" si="1"/>
        <v/>
      </c>
      <c r="P18" s="47" t="str">
        <f t="shared" ca="1" si="1"/>
        <v/>
      </c>
      <c r="Q18" s="47" t="str">
        <f t="shared" ca="1" si="1"/>
        <v/>
      </c>
      <c r="R18" s="47" t="str">
        <f t="shared" ca="1" si="1"/>
        <v/>
      </c>
      <c r="S18" s="47" t="str">
        <f t="shared" ca="1" si="1"/>
        <v/>
      </c>
      <c r="T18" s="47" t="str">
        <f t="shared" ca="1" si="1"/>
        <v/>
      </c>
      <c r="U18" s="47" t="str">
        <f t="shared" ca="1" si="1"/>
        <v/>
      </c>
      <c r="V18" s="47" t="str">
        <f t="shared" ca="1" si="2"/>
        <v/>
      </c>
      <c r="W18" s="47" t="str">
        <f t="shared" ca="1" si="2"/>
        <v/>
      </c>
      <c r="X18" s="47" t="str">
        <f t="shared" ca="1" si="2"/>
        <v/>
      </c>
      <c r="Y18" s="47" t="str">
        <f t="shared" ca="1" si="2"/>
        <v/>
      </c>
      <c r="Z18" s="47" t="str">
        <f t="shared" ca="1" si="2"/>
        <v/>
      </c>
      <c r="AA18" s="47" t="str">
        <f t="shared" ca="1" si="2"/>
        <v/>
      </c>
      <c r="AB18" s="47" t="str">
        <f t="shared" ca="1" si="2"/>
        <v/>
      </c>
      <c r="AC18" s="47" t="str">
        <f t="shared" ca="1" si="2"/>
        <v/>
      </c>
    </row>
    <row r="19" spans="1:29" x14ac:dyDescent="0.3">
      <c r="A19" s="5">
        <f t="shared" si="3"/>
        <v>9</v>
      </c>
      <c r="B19" s="45" t="str">
        <f t="shared" ca="1" si="0"/>
        <v/>
      </c>
      <c r="C19" s="46" t="str">
        <f t="shared" ca="1" si="0"/>
        <v/>
      </c>
      <c r="D19" s="46" t="str">
        <f t="shared" ca="1" si="0"/>
        <v/>
      </c>
      <c r="E19" s="45" t="str">
        <f t="shared" ca="1" si="0"/>
        <v/>
      </c>
      <c r="F19" s="46" t="str">
        <f t="shared" ca="1" si="0"/>
        <v/>
      </c>
      <c r="G19" s="46" t="str">
        <f t="shared" ca="1" si="0"/>
        <v/>
      </c>
      <c r="H19" s="46" t="str">
        <f t="shared" ca="1" si="0"/>
        <v/>
      </c>
      <c r="I19" s="46" t="str">
        <f t="shared" ca="1" si="0"/>
        <v/>
      </c>
      <c r="J19" s="47" t="str">
        <f t="shared" ca="1" si="0"/>
        <v/>
      </c>
      <c r="K19" s="47" t="str">
        <f t="shared" ca="1" si="0"/>
        <v/>
      </c>
      <c r="L19" s="47" t="str">
        <f t="shared" ca="1" si="1"/>
        <v/>
      </c>
      <c r="M19" s="47" t="str">
        <f t="shared" ca="1" si="1"/>
        <v/>
      </c>
      <c r="N19" s="47" t="str">
        <f t="shared" ca="1" si="1"/>
        <v/>
      </c>
      <c r="O19" s="47" t="str">
        <f t="shared" ca="1" si="1"/>
        <v/>
      </c>
      <c r="P19" s="47" t="str">
        <f t="shared" ca="1" si="1"/>
        <v/>
      </c>
      <c r="Q19" s="47" t="str">
        <f t="shared" ca="1" si="1"/>
        <v/>
      </c>
      <c r="R19" s="47" t="str">
        <f t="shared" ca="1" si="1"/>
        <v/>
      </c>
      <c r="S19" s="47" t="str">
        <f t="shared" ca="1" si="1"/>
        <v/>
      </c>
      <c r="T19" s="47" t="str">
        <f t="shared" ca="1" si="1"/>
        <v/>
      </c>
      <c r="U19" s="47" t="str">
        <f t="shared" ca="1" si="1"/>
        <v/>
      </c>
      <c r="V19" s="47" t="str">
        <f t="shared" ca="1" si="2"/>
        <v/>
      </c>
      <c r="W19" s="47" t="str">
        <f t="shared" ca="1" si="2"/>
        <v/>
      </c>
      <c r="X19" s="47" t="str">
        <f t="shared" ca="1" si="2"/>
        <v/>
      </c>
      <c r="Y19" s="47" t="str">
        <f t="shared" ca="1" si="2"/>
        <v/>
      </c>
      <c r="Z19" s="47" t="str">
        <f t="shared" ca="1" si="2"/>
        <v/>
      </c>
      <c r="AA19" s="47" t="str">
        <f t="shared" ca="1" si="2"/>
        <v/>
      </c>
      <c r="AB19" s="47" t="str">
        <f t="shared" ca="1" si="2"/>
        <v/>
      </c>
      <c r="AC19" s="47" t="str">
        <f t="shared" ca="1" si="2"/>
        <v/>
      </c>
    </row>
    <row r="20" spans="1:29" x14ac:dyDescent="0.3">
      <c r="A20" s="5">
        <f t="shared" si="3"/>
        <v>10</v>
      </c>
      <c r="B20" s="45" t="str">
        <f t="shared" ca="1" si="0"/>
        <v/>
      </c>
      <c r="C20" s="46" t="str">
        <f t="shared" ca="1" si="0"/>
        <v/>
      </c>
      <c r="D20" s="46" t="str">
        <f t="shared" ca="1" si="0"/>
        <v/>
      </c>
      <c r="E20" s="45" t="str">
        <f t="shared" ca="1" si="0"/>
        <v/>
      </c>
      <c r="F20" s="46" t="str">
        <f t="shared" ca="1" si="0"/>
        <v/>
      </c>
      <c r="G20" s="46" t="str">
        <f t="shared" ca="1" si="0"/>
        <v/>
      </c>
      <c r="H20" s="46" t="str">
        <f t="shared" ca="1" si="0"/>
        <v/>
      </c>
      <c r="I20" s="46" t="str">
        <f t="shared" ca="1" si="0"/>
        <v/>
      </c>
      <c r="J20" s="47" t="str">
        <f t="shared" ca="1" si="0"/>
        <v/>
      </c>
      <c r="K20" s="47" t="str">
        <f t="shared" ca="1" si="0"/>
        <v/>
      </c>
      <c r="L20" s="47" t="str">
        <f t="shared" ca="1" si="1"/>
        <v/>
      </c>
      <c r="M20" s="47" t="str">
        <f t="shared" ca="1" si="1"/>
        <v/>
      </c>
      <c r="N20" s="47" t="str">
        <f t="shared" ca="1" si="1"/>
        <v/>
      </c>
      <c r="O20" s="47" t="str">
        <f t="shared" ca="1" si="1"/>
        <v/>
      </c>
      <c r="P20" s="47" t="str">
        <f t="shared" ca="1" si="1"/>
        <v/>
      </c>
      <c r="Q20" s="47" t="str">
        <f t="shared" ca="1" si="1"/>
        <v/>
      </c>
      <c r="R20" s="47" t="str">
        <f t="shared" ca="1" si="1"/>
        <v/>
      </c>
      <c r="S20" s="47" t="str">
        <f t="shared" ca="1" si="1"/>
        <v/>
      </c>
      <c r="T20" s="47" t="str">
        <f t="shared" ca="1" si="1"/>
        <v/>
      </c>
      <c r="U20" s="47" t="str">
        <f t="shared" ca="1" si="1"/>
        <v/>
      </c>
      <c r="V20" s="47" t="str">
        <f t="shared" ca="1" si="2"/>
        <v/>
      </c>
      <c r="W20" s="47" t="str">
        <f t="shared" ca="1" si="2"/>
        <v/>
      </c>
      <c r="X20" s="47" t="str">
        <f t="shared" ca="1" si="2"/>
        <v/>
      </c>
      <c r="Y20" s="47" t="str">
        <f t="shared" ca="1" si="2"/>
        <v/>
      </c>
      <c r="Z20" s="47" t="str">
        <f t="shared" ca="1" si="2"/>
        <v/>
      </c>
      <c r="AA20" s="47" t="str">
        <f t="shared" ca="1" si="2"/>
        <v/>
      </c>
      <c r="AB20" s="47" t="str">
        <f t="shared" ca="1" si="2"/>
        <v/>
      </c>
      <c r="AC20" s="47" t="str">
        <f t="shared" ca="1" si="2"/>
        <v/>
      </c>
    </row>
    <row r="21" spans="1:29" x14ac:dyDescent="0.3">
      <c r="A21" s="5">
        <f t="shared" si="3"/>
        <v>11</v>
      </c>
      <c r="B21" s="45" t="str">
        <f t="shared" ca="1" si="0"/>
        <v/>
      </c>
      <c r="C21" s="46" t="str">
        <f t="shared" ca="1" si="0"/>
        <v/>
      </c>
      <c r="D21" s="46" t="str">
        <f t="shared" ca="1" si="0"/>
        <v/>
      </c>
      <c r="E21" s="45" t="str">
        <f t="shared" ca="1" si="0"/>
        <v/>
      </c>
      <c r="F21" s="46" t="str">
        <f t="shared" ca="1" si="0"/>
        <v/>
      </c>
      <c r="G21" s="46" t="str">
        <f t="shared" ca="1" si="0"/>
        <v/>
      </c>
      <c r="H21" s="46" t="str">
        <f t="shared" ca="1" si="0"/>
        <v/>
      </c>
      <c r="I21" s="46" t="str">
        <f t="shared" ca="1" si="0"/>
        <v/>
      </c>
      <c r="J21" s="47" t="str">
        <f t="shared" ca="1" si="0"/>
        <v/>
      </c>
      <c r="K21" s="47" t="str">
        <f t="shared" ca="1" si="0"/>
        <v/>
      </c>
      <c r="L21" s="47" t="str">
        <f t="shared" ca="1" si="1"/>
        <v/>
      </c>
      <c r="M21" s="47" t="str">
        <f t="shared" ca="1" si="1"/>
        <v/>
      </c>
      <c r="N21" s="47" t="str">
        <f t="shared" ca="1" si="1"/>
        <v/>
      </c>
      <c r="O21" s="47" t="str">
        <f t="shared" ca="1" si="1"/>
        <v/>
      </c>
      <c r="P21" s="47" t="str">
        <f t="shared" ca="1" si="1"/>
        <v/>
      </c>
      <c r="Q21" s="47" t="str">
        <f t="shared" ca="1" si="1"/>
        <v/>
      </c>
      <c r="R21" s="47" t="str">
        <f t="shared" ca="1" si="1"/>
        <v/>
      </c>
      <c r="S21" s="47" t="str">
        <f t="shared" ca="1" si="1"/>
        <v/>
      </c>
      <c r="T21" s="47" t="str">
        <f t="shared" ca="1" si="1"/>
        <v/>
      </c>
      <c r="U21" s="47" t="str">
        <f t="shared" ca="1" si="1"/>
        <v/>
      </c>
      <c r="V21" s="47" t="str">
        <f t="shared" ca="1" si="2"/>
        <v/>
      </c>
      <c r="W21" s="47" t="str">
        <f t="shared" ca="1" si="2"/>
        <v/>
      </c>
      <c r="X21" s="47" t="str">
        <f t="shared" ca="1" si="2"/>
        <v/>
      </c>
      <c r="Y21" s="47" t="str">
        <f t="shared" ca="1" si="2"/>
        <v/>
      </c>
      <c r="Z21" s="47" t="str">
        <f t="shared" ca="1" si="2"/>
        <v/>
      </c>
      <c r="AA21" s="47" t="str">
        <f t="shared" ca="1" si="2"/>
        <v/>
      </c>
      <c r="AB21" s="47" t="str">
        <f t="shared" ca="1" si="2"/>
        <v/>
      </c>
      <c r="AC21" s="47" t="str">
        <f t="shared" ca="1" si="2"/>
        <v/>
      </c>
    </row>
    <row r="22" spans="1:29" x14ac:dyDescent="0.3">
      <c r="A22" s="5">
        <f t="shared" si="3"/>
        <v>12</v>
      </c>
      <c r="B22" s="45" t="str">
        <f t="shared" ref="B22:K31" ca="1" si="4">IFERROR(IF(INDIRECT("raw!R"&amp;$A22&amp;"C"&amp;B$10,FALSE)&lt;&gt;"",INDIRECT("raw!R"&amp;$A22&amp;"C"&amp;B$10,FALSE),""),"")</f>
        <v/>
      </c>
      <c r="C22" s="46" t="str">
        <f t="shared" ca="1" si="4"/>
        <v/>
      </c>
      <c r="D22" s="46" t="str">
        <f t="shared" ca="1" si="4"/>
        <v/>
      </c>
      <c r="E22" s="45" t="str">
        <f t="shared" ca="1" si="4"/>
        <v/>
      </c>
      <c r="F22" s="46" t="str">
        <f t="shared" ca="1" si="4"/>
        <v/>
      </c>
      <c r="G22" s="46" t="str">
        <f t="shared" ca="1" si="4"/>
        <v/>
      </c>
      <c r="H22" s="46" t="str">
        <f t="shared" ca="1" si="4"/>
        <v/>
      </c>
      <c r="I22" s="46" t="str">
        <f t="shared" ca="1" si="4"/>
        <v/>
      </c>
      <c r="J22" s="47" t="str">
        <f t="shared" ca="1" si="4"/>
        <v/>
      </c>
      <c r="K22" s="47" t="str">
        <f t="shared" ca="1" si="4"/>
        <v/>
      </c>
      <c r="L22" s="47" t="str">
        <f t="shared" ref="L22:U31" ca="1" si="5">IFERROR(IF(INDIRECT("raw!R"&amp;$A22&amp;"C"&amp;L$10,FALSE)&lt;&gt;"",INDIRECT("raw!R"&amp;$A22&amp;"C"&amp;L$10,FALSE),""),"")</f>
        <v/>
      </c>
      <c r="M22" s="47" t="str">
        <f t="shared" ca="1" si="5"/>
        <v/>
      </c>
      <c r="N22" s="47" t="str">
        <f t="shared" ca="1" si="5"/>
        <v/>
      </c>
      <c r="O22" s="47" t="str">
        <f t="shared" ca="1" si="5"/>
        <v/>
      </c>
      <c r="P22" s="47" t="str">
        <f t="shared" ca="1" si="5"/>
        <v/>
      </c>
      <c r="Q22" s="47" t="str">
        <f t="shared" ca="1" si="5"/>
        <v/>
      </c>
      <c r="R22" s="47" t="str">
        <f t="shared" ca="1" si="5"/>
        <v/>
      </c>
      <c r="S22" s="47" t="str">
        <f t="shared" ca="1" si="5"/>
        <v/>
      </c>
      <c r="T22" s="47" t="str">
        <f t="shared" ca="1" si="5"/>
        <v/>
      </c>
      <c r="U22" s="47" t="str">
        <f t="shared" ca="1" si="5"/>
        <v/>
      </c>
      <c r="V22" s="47" t="str">
        <f t="shared" ref="V22:AC31" ca="1" si="6">IFERROR(IF(INDIRECT("raw!R"&amp;$A22&amp;"C"&amp;V$10,FALSE)&lt;&gt;"",INDIRECT("raw!R"&amp;$A22&amp;"C"&amp;V$10,FALSE),""),"")</f>
        <v/>
      </c>
      <c r="W22" s="47" t="str">
        <f t="shared" ca="1" si="6"/>
        <v/>
      </c>
      <c r="X22" s="47" t="str">
        <f t="shared" ca="1" si="6"/>
        <v/>
      </c>
      <c r="Y22" s="47" t="str">
        <f t="shared" ca="1" si="6"/>
        <v/>
      </c>
      <c r="Z22" s="47" t="str">
        <f t="shared" ca="1" si="6"/>
        <v/>
      </c>
      <c r="AA22" s="47" t="str">
        <f t="shared" ca="1" si="6"/>
        <v/>
      </c>
      <c r="AB22" s="47" t="str">
        <f t="shared" ca="1" si="6"/>
        <v/>
      </c>
      <c r="AC22" s="47" t="str">
        <f t="shared" ca="1" si="6"/>
        <v/>
      </c>
    </row>
    <row r="23" spans="1:29" x14ac:dyDescent="0.3">
      <c r="A23" s="5">
        <f t="shared" si="3"/>
        <v>13</v>
      </c>
      <c r="B23" s="45" t="str">
        <f t="shared" ca="1" si="4"/>
        <v/>
      </c>
      <c r="C23" s="46" t="str">
        <f t="shared" ca="1" si="4"/>
        <v/>
      </c>
      <c r="D23" s="46" t="str">
        <f t="shared" ca="1" si="4"/>
        <v/>
      </c>
      <c r="E23" s="45" t="str">
        <f t="shared" ca="1" si="4"/>
        <v/>
      </c>
      <c r="F23" s="46" t="str">
        <f t="shared" ca="1" si="4"/>
        <v/>
      </c>
      <c r="G23" s="46" t="str">
        <f t="shared" ca="1" si="4"/>
        <v/>
      </c>
      <c r="H23" s="46" t="str">
        <f t="shared" ca="1" si="4"/>
        <v/>
      </c>
      <c r="I23" s="46" t="str">
        <f t="shared" ca="1" si="4"/>
        <v/>
      </c>
      <c r="J23" s="47" t="str">
        <f t="shared" ca="1" si="4"/>
        <v/>
      </c>
      <c r="K23" s="47" t="str">
        <f t="shared" ca="1" si="4"/>
        <v/>
      </c>
      <c r="L23" s="47" t="str">
        <f t="shared" ca="1" si="5"/>
        <v/>
      </c>
      <c r="M23" s="47" t="str">
        <f t="shared" ca="1" si="5"/>
        <v/>
      </c>
      <c r="N23" s="47" t="str">
        <f t="shared" ca="1" si="5"/>
        <v/>
      </c>
      <c r="O23" s="47" t="str">
        <f t="shared" ca="1" si="5"/>
        <v/>
      </c>
      <c r="P23" s="47" t="str">
        <f t="shared" ca="1" si="5"/>
        <v/>
      </c>
      <c r="Q23" s="47" t="str">
        <f t="shared" ca="1" si="5"/>
        <v/>
      </c>
      <c r="R23" s="47" t="str">
        <f t="shared" ca="1" si="5"/>
        <v/>
      </c>
      <c r="S23" s="47" t="str">
        <f t="shared" ca="1" si="5"/>
        <v/>
      </c>
      <c r="T23" s="47" t="str">
        <f t="shared" ca="1" si="5"/>
        <v/>
      </c>
      <c r="U23" s="47" t="str">
        <f t="shared" ca="1" si="5"/>
        <v/>
      </c>
      <c r="V23" s="47" t="str">
        <f t="shared" ca="1" si="6"/>
        <v/>
      </c>
      <c r="W23" s="47" t="str">
        <f t="shared" ca="1" si="6"/>
        <v/>
      </c>
      <c r="X23" s="47" t="str">
        <f t="shared" ca="1" si="6"/>
        <v/>
      </c>
      <c r="Y23" s="47" t="str">
        <f t="shared" ca="1" si="6"/>
        <v/>
      </c>
      <c r="Z23" s="47" t="str">
        <f t="shared" ca="1" si="6"/>
        <v/>
      </c>
      <c r="AA23" s="47" t="str">
        <f t="shared" ca="1" si="6"/>
        <v/>
      </c>
      <c r="AB23" s="47" t="str">
        <f t="shared" ca="1" si="6"/>
        <v/>
      </c>
      <c r="AC23" s="47" t="str">
        <f t="shared" ca="1" si="6"/>
        <v/>
      </c>
    </row>
    <row r="24" spans="1:29" x14ac:dyDescent="0.3">
      <c r="A24" s="5">
        <f t="shared" si="3"/>
        <v>14</v>
      </c>
      <c r="B24" s="45" t="str">
        <f t="shared" ca="1" si="4"/>
        <v/>
      </c>
      <c r="C24" s="46" t="str">
        <f t="shared" ca="1" si="4"/>
        <v/>
      </c>
      <c r="D24" s="46" t="str">
        <f t="shared" ca="1" si="4"/>
        <v/>
      </c>
      <c r="E24" s="45" t="str">
        <f t="shared" ca="1" si="4"/>
        <v/>
      </c>
      <c r="F24" s="46" t="str">
        <f t="shared" ca="1" si="4"/>
        <v/>
      </c>
      <c r="G24" s="46" t="str">
        <f t="shared" ca="1" si="4"/>
        <v/>
      </c>
      <c r="H24" s="46" t="str">
        <f t="shared" ca="1" si="4"/>
        <v/>
      </c>
      <c r="I24" s="46" t="str">
        <f t="shared" ca="1" si="4"/>
        <v/>
      </c>
      <c r="J24" s="47" t="str">
        <f t="shared" ca="1" si="4"/>
        <v/>
      </c>
      <c r="K24" s="47" t="str">
        <f t="shared" ca="1" si="4"/>
        <v/>
      </c>
      <c r="L24" s="47" t="str">
        <f t="shared" ca="1" si="5"/>
        <v/>
      </c>
      <c r="M24" s="47" t="str">
        <f t="shared" ca="1" si="5"/>
        <v/>
      </c>
      <c r="N24" s="47" t="str">
        <f t="shared" ca="1" si="5"/>
        <v/>
      </c>
      <c r="O24" s="47" t="str">
        <f t="shared" ca="1" si="5"/>
        <v/>
      </c>
      <c r="P24" s="47" t="str">
        <f t="shared" ca="1" si="5"/>
        <v/>
      </c>
      <c r="Q24" s="47" t="str">
        <f t="shared" ca="1" si="5"/>
        <v/>
      </c>
      <c r="R24" s="47" t="str">
        <f t="shared" ca="1" si="5"/>
        <v/>
      </c>
      <c r="S24" s="47" t="str">
        <f t="shared" ca="1" si="5"/>
        <v/>
      </c>
      <c r="T24" s="47" t="str">
        <f t="shared" ca="1" si="5"/>
        <v/>
      </c>
      <c r="U24" s="47" t="str">
        <f t="shared" ca="1" si="5"/>
        <v/>
      </c>
      <c r="V24" s="47" t="str">
        <f t="shared" ca="1" si="6"/>
        <v/>
      </c>
      <c r="W24" s="47" t="str">
        <f t="shared" ca="1" si="6"/>
        <v/>
      </c>
      <c r="X24" s="47" t="str">
        <f t="shared" ca="1" si="6"/>
        <v/>
      </c>
      <c r="Y24" s="47" t="str">
        <f t="shared" ca="1" si="6"/>
        <v/>
      </c>
      <c r="Z24" s="47" t="str">
        <f t="shared" ca="1" si="6"/>
        <v/>
      </c>
      <c r="AA24" s="47" t="str">
        <f t="shared" ca="1" si="6"/>
        <v/>
      </c>
      <c r="AB24" s="47" t="str">
        <f t="shared" ca="1" si="6"/>
        <v/>
      </c>
      <c r="AC24" s="47" t="str">
        <f t="shared" ca="1" si="6"/>
        <v/>
      </c>
    </row>
    <row r="25" spans="1:29" x14ac:dyDescent="0.3">
      <c r="A25" s="5">
        <f t="shared" si="3"/>
        <v>15</v>
      </c>
      <c r="B25" s="45" t="str">
        <f t="shared" ca="1" si="4"/>
        <v/>
      </c>
      <c r="C25" s="46" t="str">
        <f t="shared" ca="1" si="4"/>
        <v/>
      </c>
      <c r="D25" s="46" t="str">
        <f t="shared" ca="1" si="4"/>
        <v/>
      </c>
      <c r="E25" s="45" t="str">
        <f t="shared" ca="1" si="4"/>
        <v/>
      </c>
      <c r="F25" s="46" t="str">
        <f t="shared" ca="1" si="4"/>
        <v/>
      </c>
      <c r="G25" s="46" t="str">
        <f t="shared" ca="1" si="4"/>
        <v/>
      </c>
      <c r="H25" s="46" t="str">
        <f t="shared" ca="1" si="4"/>
        <v/>
      </c>
      <c r="I25" s="46" t="str">
        <f t="shared" ca="1" si="4"/>
        <v/>
      </c>
      <c r="J25" s="47" t="str">
        <f t="shared" ca="1" si="4"/>
        <v/>
      </c>
      <c r="K25" s="47" t="str">
        <f t="shared" ca="1" si="4"/>
        <v/>
      </c>
      <c r="L25" s="47" t="str">
        <f t="shared" ca="1" si="5"/>
        <v/>
      </c>
      <c r="M25" s="47" t="str">
        <f t="shared" ca="1" si="5"/>
        <v/>
      </c>
      <c r="N25" s="47" t="str">
        <f t="shared" ca="1" si="5"/>
        <v/>
      </c>
      <c r="O25" s="47" t="str">
        <f t="shared" ca="1" si="5"/>
        <v/>
      </c>
      <c r="P25" s="47" t="str">
        <f t="shared" ca="1" si="5"/>
        <v/>
      </c>
      <c r="Q25" s="47" t="str">
        <f t="shared" ca="1" si="5"/>
        <v/>
      </c>
      <c r="R25" s="47" t="str">
        <f t="shared" ca="1" si="5"/>
        <v/>
      </c>
      <c r="S25" s="47" t="str">
        <f t="shared" ca="1" si="5"/>
        <v/>
      </c>
      <c r="T25" s="47" t="str">
        <f t="shared" ca="1" si="5"/>
        <v/>
      </c>
      <c r="U25" s="47" t="str">
        <f t="shared" ca="1" si="5"/>
        <v/>
      </c>
      <c r="V25" s="47" t="str">
        <f t="shared" ca="1" si="6"/>
        <v/>
      </c>
      <c r="W25" s="47" t="str">
        <f t="shared" ca="1" si="6"/>
        <v/>
      </c>
      <c r="X25" s="47" t="str">
        <f t="shared" ca="1" si="6"/>
        <v/>
      </c>
      <c r="Y25" s="47" t="str">
        <f t="shared" ca="1" si="6"/>
        <v/>
      </c>
      <c r="Z25" s="47" t="str">
        <f t="shared" ca="1" si="6"/>
        <v/>
      </c>
      <c r="AA25" s="47" t="str">
        <f t="shared" ca="1" si="6"/>
        <v/>
      </c>
      <c r="AB25" s="47" t="str">
        <f t="shared" ca="1" si="6"/>
        <v/>
      </c>
      <c r="AC25" s="47" t="str">
        <f t="shared" ca="1" si="6"/>
        <v/>
      </c>
    </row>
    <row r="26" spans="1:29" x14ac:dyDescent="0.3">
      <c r="A26" s="5">
        <f t="shared" si="3"/>
        <v>16</v>
      </c>
      <c r="B26" s="45" t="str">
        <f t="shared" ca="1" si="4"/>
        <v/>
      </c>
      <c r="C26" s="46" t="str">
        <f t="shared" ca="1" si="4"/>
        <v/>
      </c>
      <c r="D26" s="46" t="str">
        <f t="shared" ca="1" si="4"/>
        <v/>
      </c>
      <c r="E26" s="45" t="str">
        <f t="shared" ca="1" si="4"/>
        <v/>
      </c>
      <c r="F26" s="46" t="str">
        <f t="shared" ca="1" si="4"/>
        <v/>
      </c>
      <c r="G26" s="46" t="str">
        <f t="shared" ca="1" si="4"/>
        <v/>
      </c>
      <c r="H26" s="46" t="str">
        <f t="shared" ca="1" si="4"/>
        <v/>
      </c>
      <c r="I26" s="46" t="str">
        <f t="shared" ca="1" si="4"/>
        <v/>
      </c>
      <c r="J26" s="47" t="str">
        <f t="shared" ca="1" si="4"/>
        <v/>
      </c>
      <c r="K26" s="47" t="str">
        <f t="shared" ca="1" si="4"/>
        <v/>
      </c>
      <c r="L26" s="47" t="str">
        <f t="shared" ca="1" si="5"/>
        <v/>
      </c>
      <c r="M26" s="47" t="str">
        <f t="shared" ca="1" si="5"/>
        <v/>
      </c>
      <c r="N26" s="47" t="str">
        <f t="shared" ca="1" si="5"/>
        <v/>
      </c>
      <c r="O26" s="47" t="str">
        <f t="shared" ca="1" si="5"/>
        <v/>
      </c>
      <c r="P26" s="47" t="str">
        <f t="shared" ca="1" si="5"/>
        <v/>
      </c>
      <c r="Q26" s="47" t="str">
        <f t="shared" ca="1" si="5"/>
        <v/>
      </c>
      <c r="R26" s="47" t="str">
        <f t="shared" ca="1" si="5"/>
        <v/>
      </c>
      <c r="S26" s="47" t="str">
        <f t="shared" ca="1" si="5"/>
        <v/>
      </c>
      <c r="T26" s="47" t="str">
        <f t="shared" ca="1" si="5"/>
        <v/>
      </c>
      <c r="U26" s="47" t="str">
        <f t="shared" ca="1" si="5"/>
        <v/>
      </c>
      <c r="V26" s="47" t="str">
        <f t="shared" ca="1" si="6"/>
        <v/>
      </c>
      <c r="W26" s="47" t="str">
        <f t="shared" ca="1" si="6"/>
        <v/>
      </c>
      <c r="X26" s="47" t="str">
        <f t="shared" ca="1" si="6"/>
        <v/>
      </c>
      <c r="Y26" s="47" t="str">
        <f t="shared" ca="1" si="6"/>
        <v/>
      </c>
      <c r="Z26" s="47" t="str">
        <f t="shared" ca="1" si="6"/>
        <v/>
      </c>
      <c r="AA26" s="47" t="str">
        <f t="shared" ca="1" si="6"/>
        <v/>
      </c>
      <c r="AB26" s="47" t="str">
        <f t="shared" ca="1" si="6"/>
        <v/>
      </c>
      <c r="AC26" s="47" t="str">
        <f t="shared" ca="1" si="6"/>
        <v/>
      </c>
    </row>
    <row r="27" spans="1:29" x14ac:dyDescent="0.3">
      <c r="A27" s="5">
        <f t="shared" si="3"/>
        <v>17</v>
      </c>
      <c r="B27" s="45" t="str">
        <f t="shared" ca="1" si="4"/>
        <v/>
      </c>
      <c r="C27" s="46" t="str">
        <f t="shared" ca="1" si="4"/>
        <v/>
      </c>
      <c r="D27" s="46" t="str">
        <f t="shared" ca="1" si="4"/>
        <v/>
      </c>
      <c r="E27" s="45" t="str">
        <f t="shared" ca="1" si="4"/>
        <v/>
      </c>
      <c r="F27" s="46" t="str">
        <f t="shared" ca="1" si="4"/>
        <v/>
      </c>
      <c r="G27" s="46" t="str">
        <f t="shared" ca="1" si="4"/>
        <v/>
      </c>
      <c r="H27" s="46" t="str">
        <f t="shared" ca="1" si="4"/>
        <v/>
      </c>
      <c r="I27" s="46" t="str">
        <f t="shared" ca="1" si="4"/>
        <v/>
      </c>
      <c r="J27" s="47" t="str">
        <f t="shared" ca="1" si="4"/>
        <v/>
      </c>
      <c r="K27" s="47" t="str">
        <f t="shared" ca="1" si="4"/>
        <v/>
      </c>
      <c r="L27" s="47" t="str">
        <f t="shared" ca="1" si="5"/>
        <v/>
      </c>
      <c r="M27" s="47" t="str">
        <f t="shared" ca="1" si="5"/>
        <v/>
      </c>
      <c r="N27" s="47" t="str">
        <f t="shared" ca="1" si="5"/>
        <v/>
      </c>
      <c r="O27" s="47" t="str">
        <f t="shared" ca="1" si="5"/>
        <v/>
      </c>
      <c r="P27" s="47" t="str">
        <f t="shared" ca="1" si="5"/>
        <v/>
      </c>
      <c r="Q27" s="47" t="str">
        <f t="shared" ca="1" si="5"/>
        <v/>
      </c>
      <c r="R27" s="47" t="str">
        <f t="shared" ca="1" si="5"/>
        <v/>
      </c>
      <c r="S27" s="47" t="str">
        <f t="shared" ca="1" si="5"/>
        <v/>
      </c>
      <c r="T27" s="47" t="str">
        <f t="shared" ca="1" si="5"/>
        <v/>
      </c>
      <c r="U27" s="47" t="str">
        <f t="shared" ca="1" si="5"/>
        <v/>
      </c>
      <c r="V27" s="47" t="str">
        <f t="shared" ca="1" si="6"/>
        <v/>
      </c>
      <c r="W27" s="47" t="str">
        <f t="shared" ca="1" si="6"/>
        <v/>
      </c>
      <c r="X27" s="47" t="str">
        <f t="shared" ca="1" si="6"/>
        <v/>
      </c>
      <c r="Y27" s="47" t="str">
        <f t="shared" ca="1" si="6"/>
        <v/>
      </c>
      <c r="Z27" s="47" t="str">
        <f t="shared" ca="1" si="6"/>
        <v/>
      </c>
      <c r="AA27" s="47" t="str">
        <f t="shared" ca="1" si="6"/>
        <v/>
      </c>
      <c r="AB27" s="47" t="str">
        <f t="shared" ca="1" si="6"/>
        <v/>
      </c>
      <c r="AC27" s="47" t="str">
        <f t="shared" ca="1" si="6"/>
        <v/>
      </c>
    </row>
    <row r="28" spans="1:29" x14ac:dyDescent="0.3">
      <c r="A28" s="5">
        <f t="shared" si="3"/>
        <v>18</v>
      </c>
      <c r="B28" s="45" t="str">
        <f t="shared" ca="1" si="4"/>
        <v/>
      </c>
      <c r="C28" s="46" t="str">
        <f t="shared" ca="1" si="4"/>
        <v/>
      </c>
      <c r="D28" s="46" t="str">
        <f t="shared" ca="1" si="4"/>
        <v/>
      </c>
      <c r="E28" s="45" t="str">
        <f t="shared" ca="1" si="4"/>
        <v/>
      </c>
      <c r="F28" s="46" t="str">
        <f t="shared" ca="1" si="4"/>
        <v/>
      </c>
      <c r="G28" s="46" t="str">
        <f t="shared" ca="1" si="4"/>
        <v/>
      </c>
      <c r="H28" s="46" t="str">
        <f t="shared" ca="1" si="4"/>
        <v/>
      </c>
      <c r="I28" s="46" t="str">
        <f t="shared" ca="1" si="4"/>
        <v/>
      </c>
      <c r="J28" s="47" t="str">
        <f t="shared" ca="1" si="4"/>
        <v/>
      </c>
      <c r="K28" s="47" t="str">
        <f t="shared" ca="1" si="4"/>
        <v/>
      </c>
      <c r="L28" s="47" t="str">
        <f t="shared" ca="1" si="5"/>
        <v/>
      </c>
      <c r="M28" s="47" t="str">
        <f t="shared" ca="1" si="5"/>
        <v/>
      </c>
      <c r="N28" s="47" t="str">
        <f t="shared" ca="1" si="5"/>
        <v/>
      </c>
      <c r="O28" s="47" t="str">
        <f t="shared" ca="1" si="5"/>
        <v/>
      </c>
      <c r="P28" s="47" t="str">
        <f t="shared" ca="1" si="5"/>
        <v/>
      </c>
      <c r="Q28" s="47" t="str">
        <f t="shared" ca="1" si="5"/>
        <v/>
      </c>
      <c r="R28" s="47" t="str">
        <f t="shared" ca="1" si="5"/>
        <v/>
      </c>
      <c r="S28" s="47" t="str">
        <f t="shared" ca="1" si="5"/>
        <v/>
      </c>
      <c r="T28" s="47" t="str">
        <f t="shared" ca="1" si="5"/>
        <v/>
      </c>
      <c r="U28" s="47" t="str">
        <f t="shared" ca="1" si="5"/>
        <v/>
      </c>
      <c r="V28" s="47" t="str">
        <f t="shared" ca="1" si="6"/>
        <v/>
      </c>
      <c r="W28" s="47" t="str">
        <f t="shared" ca="1" si="6"/>
        <v/>
      </c>
      <c r="X28" s="47" t="str">
        <f t="shared" ca="1" si="6"/>
        <v/>
      </c>
      <c r="Y28" s="47" t="str">
        <f t="shared" ca="1" si="6"/>
        <v/>
      </c>
      <c r="Z28" s="47" t="str">
        <f t="shared" ca="1" si="6"/>
        <v/>
      </c>
      <c r="AA28" s="47" t="str">
        <f t="shared" ca="1" si="6"/>
        <v/>
      </c>
      <c r="AB28" s="47" t="str">
        <f t="shared" ca="1" si="6"/>
        <v/>
      </c>
      <c r="AC28" s="47" t="str">
        <f t="shared" ca="1" si="6"/>
        <v/>
      </c>
    </row>
    <row r="29" spans="1:29" x14ac:dyDescent="0.3">
      <c r="A29" s="5">
        <f t="shared" si="3"/>
        <v>19</v>
      </c>
      <c r="B29" s="45" t="str">
        <f t="shared" ca="1" si="4"/>
        <v/>
      </c>
      <c r="C29" s="46" t="str">
        <f t="shared" ca="1" si="4"/>
        <v/>
      </c>
      <c r="D29" s="46" t="str">
        <f t="shared" ca="1" si="4"/>
        <v/>
      </c>
      <c r="E29" s="45" t="str">
        <f t="shared" ca="1" si="4"/>
        <v/>
      </c>
      <c r="F29" s="46" t="str">
        <f t="shared" ca="1" si="4"/>
        <v/>
      </c>
      <c r="G29" s="46" t="str">
        <f t="shared" ca="1" si="4"/>
        <v/>
      </c>
      <c r="H29" s="46" t="str">
        <f t="shared" ca="1" si="4"/>
        <v/>
      </c>
      <c r="I29" s="46" t="str">
        <f t="shared" ca="1" si="4"/>
        <v/>
      </c>
      <c r="J29" s="47" t="str">
        <f t="shared" ca="1" si="4"/>
        <v/>
      </c>
      <c r="K29" s="47" t="str">
        <f t="shared" ca="1" si="4"/>
        <v/>
      </c>
      <c r="L29" s="47" t="str">
        <f t="shared" ca="1" si="5"/>
        <v/>
      </c>
      <c r="M29" s="47" t="str">
        <f t="shared" ca="1" si="5"/>
        <v/>
      </c>
      <c r="N29" s="47" t="str">
        <f t="shared" ca="1" si="5"/>
        <v/>
      </c>
      <c r="O29" s="47" t="str">
        <f t="shared" ca="1" si="5"/>
        <v/>
      </c>
      <c r="P29" s="47" t="str">
        <f t="shared" ca="1" si="5"/>
        <v/>
      </c>
      <c r="Q29" s="47" t="str">
        <f t="shared" ca="1" si="5"/>
        <v/>
      </c>
      <c r="R29" s="47" t="str">
        <f t="shared" ca="1" si="5"/>
        <v/>
      </c>
      <c r="S29" s="47" t="str">
        <f t="shared" ca="1" si="5"/>
        <v/>
      </c>
      <c r="T29" s="47" t="str">
        <f t="shared" ca="1" si="5"/>
        <v/>
      </c>
      <c r="U29" s="47" t="str">
        <f t="shared" ca="1" si="5"/>
        <v/>
      </c>
      <c r="V29" s="47" t="str">
        <f t="shared" ca="1" si="6"/>
        <v/>
      </c>
      <c r="W29" s="47" t="str">
        <f t="shared" ca="1" si="6"/>
        <v/>
      </c>
      <c r="X29" s="47" t="str">
        <f t="shared" ca="1" si="6"/>
        <v/>
      </c>
      <c r="Y29" s="47" t="str">
        <f t="shared" ca="1" si="6"/>
        <v/>
      </c>
      <c r="Z29" s="47" t="str">
        <f t="shared" ca="1" si="6"/>
        <v/>
      </c>
      <c r="AA29" s="47" t="str">
        <f t="shared" ca="1" si="6"/>
        <v/>
      </c>
      <c r="AB29" s="47" t="str">
        <f t="shared" ca="1" si="6"/>
        <v/>
      </c>
      <c r="AC29" s="47" t="str">
        <f t="shared" ca="1" si="6"/>
        <v/>
      </c>
    </row>
    <row r="30" spans="1:29" x14ac:dyDescent="0.3">
      <c r="A30" s="5">
        <f t="shared" si="3"/>
        <v>20</v>
      </c>
      <c r="B30" s="45" t="str">
        <f t="shared" ca="1" si="4"/>
        <v/>
      </c>
      <c r="C30" s="46" t="str">
        <f t="shared" ca="1" si="4"/>
        <v/>
      </c>
      <c r="D30" s="46" t="str">
        <f t="shared" ca="1" si="4"/>
        <v/>
      </c>
      <c r="E30" s="45" t="str">
        <f t="shared" ca="1" si="4"/>
        <v/>
      </c>
      <c r="F30" s="46" t="str">
        <f t="shared" ca="1" si="4"/>
        <v/>
      </c>
      <c r="G30" s="46" t="str">
        <f t="shared" ca="1" si="4"/>
        <v/>
      </c>
      <c r="H30" s="46" t="str">
        <f t="shared" ca="1" si="4"/>
        <v/>
      </c>
      <c r="I30" s="46" t="str">
        <f t="shared" ca="1" si="4"/>
        <v/>
      </c>
      <c r="J30" s="47" t="str">
        <f t="shared" ca="1" si="4"/>
        <v/>
      </c>
      <c r="K30" s="47" t="str">
        <f t="shared" ca="1" si="4"/>
        <v/>
      </c>
      <c r="L30" s="47" t="str">
        <f t="shared" ca="1" si="5"/>
        <v/>
      </c>
      <c r="M30" s="47" t="str">
        <f t="shared" ca="1" si="5"/>
        <v/>
      </c>
      <c r="N30" s="47" t="str">
        <f t="shared" ca="1" si="5"/>
        <v/>
      </c>
      <c r="O30" s="47" t="str">
        <f t="shared" ca="1" si="5"/>
        <v/>
      </c>
      <c r="P30" s="47" t="str">
        <f t="shared" ca="1" si="5"/>
        <v/>
      </c>
      <c r="Q30" s="47" t="str">
        <f t="shared" ca="1" si="5"/>
        <v/>
      </c>
      <c r="R30" s="47" t="str">
        <f t="shared" ca="1" si="5"/>
        <v/>
      </c>
      <c r="S30" s="47" t="str">
        <f t="shared" ca="1" si="5"/>
        <v/>
      </c>
      <c r="T30" s="47" t="str">
        <f t="shared" ca="1" si="5"/>
        <v/>
      </c>
      <c r="U30" s="47" t="str">
        <f t="shared" ca="1" si="5"/>
        <v/>
      </c>
      <c r="V30" s="47" t="str">
        <f t="shared" ca="1" si="6"/>
        <v/>
      </c>
      <c r="W30" s="47" t="str">
        <f t="shared" ca="1" si="6"/>
        <v/>
      </c>
      <c r="X30" s="47" t="str">
        <f t="shared" ca="1" si="6"/>
        <v/>
      </c>
      <c r="Y30" s="47" t="str">
        <f t="shared" ca="1" si="6"/>
        <v/>
      </c>
      <c r="Z30" s="47" t="str">
        <f t="shared" ca="1" si="6"/>
        <v/>
      </c>
      <c r="AA30" s="47" t="str">
        <f t="shared" ca="1" si="6"/>
        <v/>
      </c>
      <c r="AB30" s="47" t="str">
        <f t="shared" ca="1" si="6"/>
        <v/>
      </c>
      <c r="AC30" s="47" t="str">
        <f t="shared" ca="1" si="6"/>
        <v/>
      </c>
    </row>
    <row r="31" spans="1:29" x14ac:dyDescent="0.3">
      <c r="A31" s="5">
        <f t="shared" si="3"/>
        <v>21</v>
      </c>
      <c r="B31" s="45" t="str">
        <f t="shared" ca="1" si="4"/>
        <v/>
      </c>
      <c r="C31" s="46" t="str">
        <f t="shared" ca="1" si="4"/>
        <v/>
      </c>
      <c r="D31" s="46" t="str">
        <f t="shared" ca="1" si="4"/>
        <v/>
      </c>
      <c r="E31" s="45" t="str">
        <f t="shared" ca="1" si="4"/>
        <v/>
      </c>
      <c r="F31" s="46" t="str">
        <f t="shared" ca="1" si="4"/>
        <v/>
      </c>
      <c r="G31" s="46" t="str">
        <f t="shared" ca="1" si="4"/>
        <v/>
      </c>
      <c r="H31" s="46" t="str">
        <f t="shared" ca="1" si="4"/>
        <v/>
      </c>
      <c r="I31" s="46" t="str">
        <f t="shared" ca="1" si="4"/>
        <v/>
      </c>
      <c r="J31" s="47" t="str">
        <f t="shared" ca="1" si="4"/>
        <v/>
      </c>
      <c r="K31" s="47" t="str">
        <f t="shared" ca="1" si="4"/>
        <v/>
      </c>
      <c r="L31" s="47" t="str">
        <f t="shared" ca="1" si="5"/>
        <v/>
      </c>
      <c r="M31" s="47" t="str">
        <f t="shared" ca="1" si="5"/>
        <v/>
      </c>
      <c r="N31" s="47" t="str">
        <f t="shared" ca="1" si="5"/>
        <v/>
      </c>
      <c r="O31" s="47" t="str">
        <f t="shared" ca="1" si="5"/>
        <v/>
      </c>
      <c r="P31" s="47" t="str">
        <f t="shared" ca="1" si="5"/>
        <v/>
      </c>
      <c r="Q31" s="47" t="str">
        <f t="shared" ca="1" si="5"/>
        <v/>
      </c>
      <c r="R31" s="47" t="str">
        <f t="shared" ca="1" si="5"/>
        <v/>
      </c>
      <c r="S31" s="47" t="str">
        <f t="shared" ca="1" si="5"/>
        <v/>
      </c>
      <c r="T31" s="47" t="str">
        <f t="shared" ca="1" si="5"/>
        <v/>
      </c>
      <c r="U31" s="47" t="str">
        <f t="shared" ca="1" si="5"/>
        <v/>
      </c>
      <c r="V31" s="47" t="str">
        <f t="shared" ca="1" si="6"/>
        <v/>
      </c>
      <c r="W31" s="47" t="str">
        <f t="shared" ca="1" si="6"/>
        <v/>
      </c>
      <c r="X31" s="47" t="str">
        <f t="shared" ca="1" si="6"/>
        <v/>
      </c>
      <c r="Y31" s="47" t="str">
        <f t="shared" ca="1" si="6"/>
        <v/>
      </c>
      <c r="Z31" s="47" t="str">
        <f t="shared" ca="1" si="6"/>
        <v/>
      </c>
      <c r="AA31" s="47" t="str">
        <f t="shared" ca="1" si="6"/>
        <v/>
      </c>
      <c r="AB31" s="47" t="str">
        <f t="shared" ca="1" si="6"/>
        <v/>
      </c>
      <c r="AC31" s="47" t="str">
        <f t="shared" ca="1" si="6"/>
        <v/>
      </c>
    </row>
    <row r="32" spans="1:29" x14ac:dyDescent="0.3">
      <c r="A32" s="5">
        <f t="shared" si="3"/>
        <v>22</v>
      </c>
      <c r="B32" s="45" t="str">
        <f t="shared" ref="B32:K41" ca="1" si="7">IFERROR(IF(INDIRECT("raw!R"&amp;$A32&amp;"C"&amp;B$10,FALSE)&lt;&gt;"",INDIRECT("raw!R"&amp;$A32&amp;"C"&amp;B$10,FALSE),""),"")</f>
        <v/>
      </c>
      <c r="C32" s="46" t="str">
        <f t="shared" ca="1" si="7"/>
        <v/>
      </c>
      <c r="D32" s="46" t="str">
        <f t="shared" ca="1" si="7"/>
        <v/>
      </c>
      <c r="E32" s="45" t="str">
        <f t="shared" ca="1" si="7"/>
        <v/>
      </c>
      <c r="F32" s="46" t="str">
        <f t="shared" ca="1" si="7"/>
        <v/>
      </c>
      <c r="G32" s="46" t="str">
        <f t="shared" ca="1" si="7"/>
        <v/>
      </c>
      <c r="H32" s="46" t="str">
        <f t="shared" ca="1" si="7"/>
        <v/>
      </c>
      <c r="I32" s="46" t="str">
        <f t="shared" ca="1" si="7"/>
        <v/>
      </c>
      <c r="J32" s="47" t="str">
        <f t="shared" ca="1" si="7"/>
        <v/>
      </c>
      <c r="K32" s="47" t="str">
        <f t="shared" ca="1" si="7"/>
        <v/>
      </c>
      <c r="L32" s="47" t="str">
        <f t="shared" ref="L32:U41" ca="1" si="8">IFERROR(IF(INDIRECT("raw!R"&amp;$A32&amp;"C"&amp;L$10,FALSE)&lt;&gt;"",INDIRECT("raw!R"&amp;$A32&amp;"C"&amp;L$10,FALSE),""),"")</f>
        <v/>
      </c>
      <c r="M32" s="47" t="str">
        <f t="shared" ca="1" si="8"/>
        <v/>
      </c>
      <c r="N32" s="47" t="str">
        <f t="shared" ca="1" si="8"/>
        <v/>
      </c>
      <c r="O32" s="47" t="str">
        <f t="shared" ca="1" si="8"/>
        <v/>
      </c>
      <c r="P32" s="47" t="str">
        <f t="shared" ca="1" si="8"/>
        <v/>
      </c>
      <c r="Q32" s="47" t="str">
        <f t="shared" ca="1" si="8"/>
        <v/>
      </c>
      <c r="R32" s="47" t="str">
        <f t="shared" ca="1" si="8"/>
        <v/>
      </c>
      <c r="S32" s="47" t="str">
        <f t="shared" ca="1" si="8"/>
        <v/>
      </c>
      <c r="T32" s="47" t="str">
        <f t="shared" ca="1" si="8"/>
        <v/>
      </c>
      <c r="U32" s="47" t="str">
        <f t="shared" ca="1" si="8"/>
        <v/>
      </c>
      <c r="V32" s="47" t="str">
        <f t="shared" ref="V32:AC41" ca="1" si="9">IFERROR(IF(INDIRECT("raw!R"&amp;$A32&amp;"C"&amp;V$10,FALSE)&lt;&gt;"",INDIRECT("raw!R"&amp;$A32&amp;"C"&amp;V$10,FALSE),""),"")</f>
        <v/>
      </c>
      <c r="W32" s="47" t="str">
        <f t="shared" ca="1" si="9"/>
        <v/>
      </c>
      <c r="X32" s="47" t="str">
        <f t="shared" ca="1" si="9"/>
        <v/>
      </c>
      <c r="Y32" s="47" t="str">
        <f t="shared" ca="1" si="9"/>
        <v/>
      </c>
      <c r="Z32" s="47" t="str">
        <f t="shared" ca="1" si="9"/>
        <v/>
      </c>
      <c r="AA32" s="47" t="str">
        <f t="shared" ca="1" si="9"/>
        <v/>
      </c>
      <c r="AB32" s="47" t="str">
        <f t="shared" ca="1" si="9"/>
        <v/>
      </c>
      <c r="AC32" s="47" t="str">
        <f t="shared" ca="1" si="9"/>
        <v/>
      </c>
    </row>
    <row r="33" spans="1:29" x14ac:dyDescent="0.3">
      <c r="A33" s="5">
        <f t="shared" si="3"/>
        <v>23</v>
      </c>
      <c r="B33" s="45" t="str">
        <f t="shared" ca="1" si="7"/>
        <v/>
      </c>
      <c r="C33" s="46" t="str">
        <f t="shared" ca="1" si="7"/>
        <v/>
      </c>
      <c r="D33" s="46" t="str">
        <f t="shared" ca="1" si="7"/>
        <v/>
      </c>
      <c r="E33" s="45" t="str">
        <f t="shared" ca="1" si="7"/>
        <v/>
      </c>
      <c r="F33" s="46" t="str">
        <f t="shared" ca="1" si="7"/>
        <v/>
      </c>
      <c r="G33" s="46" t="str">
        <f t="shared" ca="1" si="7"/>
        <v/>
      </c>
      <c r="H33" s="46" t="str">
        <f t="shared" ca="1" si="7"/>
        <v/>
      </c>
      <c r="I33" s="46" t="str">
        <f t="shared" ca="1" si="7"/>
        <v/>
      </c>
      <c r="J33" s="47" t="str">
        <f t="shared" ca="1" si="7"/>
        <v/>
      </c>
      <c r="K33" s="47" t="str">
        <f t="shared" ca="1" si="7"/>
        <v/>
      </c>
      <c r="L33" s="47" t="str">
        <f t="shared" ca="1" si="8"/>
        <v/>
      </c>
      <c r="M33" s="47" t="str">
        <f t="shared" ca="1" si="8"/>
        <v/>
      </c>
      <c r="N33" s="47" t="str">
        <f t="shared" ca="1" si="8"/>
        <v/>
      </c>
      <c r="O33" s="47" t="str">
        <f t="shared" ca="1" si="8"/>
        <v/>
      </c>
      <c r="P33" s="47" t="str">
        <f t="shared" ca="1" si="8"/>
        <v/>
      </c>
      <c r="Q33" s="47" t="str">
        <f t="shared" ca="1" si="8"/>
        <v/>
      </c>
      <c r="R33" s="47" t="str">
        <f t="shared" ca="1" si="8"/>
        <v/>
      </c>
      <c r="S33" s="47" t="str">
        <f t="shared" ca="1" si="8"/>
        <v/>
      </c>
      <c r="T33" s="47" t="str">
        <f t="shared" ca="1" si="8"/>
        <v/>
      </c>
      <c r="U33" s="47" t="str">
        <f t="shared" ca="1" si="8"/>
        <v/>
      </c>
      <c r="V33" s="47" t="str">
        <f t="shared" ca="1" si="9"/>
        <v/>
      </c>
      <c r="W33" s="47" t="str">
        <f t="shared" ca="1" si="9"/>
        <v/>
      </c>
      <c r="X33" s="47" t="str">
        <f t="shared" ca="1" si="9"/>
        <v/>
      </c>
      <c r="Y33" s="47" t="str">
        <f t="shared" ca="1" si="9"/>
        <v/>
      </c>
      <c r="Z33" s="47" t="str">
        <f t="shared" ca="1" si="9"/>
        <v/>
      </c>
      <c r="AA33" s="47" t="str">
        <f t="shared" ca="1" si="9"/>
        <v/>
      </c>
      <c r="AB33" s="47" t="str">
        <f t="shared" ca="1" si="9"/>
        <v/>
      </c>
      <c r="AC33" s="47" t="str">
        <f t="shared" ca="1" si="9"/>
        <v/>
      </c>
    </row>
    <row r="34" spans="1:29" x14ac:dyDescent="0.3">
      <c r="A34" s="5">
        <f t="shared" si="3"/>
        <v>24</v>
      </c>
      <c r="B34" s="45" t="str">
        <f t="shared" ca="1" si="7"/>
        <v/>
      </c>
      <c r="C34" s="46" t="str">
        <f t="shared" ca="1" si="7"/>
        <v/>
      </c>
      <c r="D34" s="46" t="str">
        <f t="shared" ca="1" si="7"/>
        <v/>
      </c>
      <c r="E34" s="45" t="str">
        <f t="shared" ca="1" si="7"/>
        <v/>
      </c>
      <c r="F34" s="46" t="str">
        <f t="shared" ca="1" si="7"/>
        <v/>
      </c>
      <c r="G34" s="46" t="str">
        <f t="shared" ca="1" si="7"/>
        <v/>
      </c>
      <c r="H34" s="46" t="str">
        <f t="shared" ca="1" si="7"/>
        <v/>
      </c>
      <c r="I34" s="46" t="str">
        <f t="shared" ca="1" si="7"/>
        <v/>
      </c>
      <c r="J34" s="47" t="str">
        <f t="shared" ca="1" si="7"/>
        <v/>
      </c>
      <c r="K34" s="47" t="str">
        <f t="shared" ca="1" si="7"/>
        <v/>
      </c>
      <c r="L34" s="47" t="str">
        <f t="shared" ca="1" si="8"/>
        <v/>
      </c>
      <c r="M34" s="47" t="str">
        <f t="shared" ca="1" si="8"/>
        <v/>
      </c>
      <c r="N34" s="47" t="str">
        <f t="shared" ca="1" si="8"/>
        <v/>
      </c>
      <c r="O34" s="47" t="str">
        <f t="shared" ca="1" si="8"/>
        <v/>
      </c>
      <c r="P34" s="47" t="str">
        <f t="shared" ca="1" si="8"/>
        <v/>
      </c>
      <c r="Q34" s="47" t="str">
        <f t="shared" ca="1" si="8"/>
        <v/>
      </c>
      <c r="R34" s="47" t="str">
        <f t="shared" ca="1" si="8"/>
        <v/>
      </c>
      <c r="S34" s="47" t="str">
        <f t="shared" ca="1" si="8"/>
        <v/>
      </c>
      <c r="T34" s="47" t="str">
        <f t="shared" ca="1" si="8"/>
        <v/>
      </c>
      <c r="U34" s="47" t="str">
        <f t="shared" ca="1" si="8"/>
        <v/>
      </c>
      <c r="V34" s="47" t="str">
        <f t="shared" ca="1" si="9"/>
        <v/>
      </c>
      <c r="W34" s="47" t="str">
        <f t="shared" ca="1" si="9"/>
        <v/>
      </c>
      <c r="X34" s="47" t="str">
        <f t="shared" ca="1" si="9"/>
        <v/>
      </c>
      <c r="Y34" s="47" t="str">
        <f t="shared" ca="1" si="9"/>
        <v/>
      </c>
      <c r="Z34" s="47" t="str">
        <f t="shared" ca="1" si="9"/>
        <v/>
      </c>
      <c r="AA34" s="47" t="str">
        <f t="shared" ca="1" si="9"/>
        <v/>
      </c>
      <c r="AB34" s="47" t="str">
        <f t="shared" ca="1" si="9"/>
        <v/>
      </c>
      <c r="AC34" s="47" t="str">
        <f t="shared" ca="1" si="9"/>
        <v/>
      </c>
    </row>
    <row r="35" spans="1:29" x14ac:dyDescent="0.3">
      <c r="A35" s="5">
        <f t="shared" si="3"/>
        <v>25</v>
      </c>
      <c r="B35" s="45" t="str">
        <f t="shared" ca="1" si="7"/>
        <v/>
      </c>
      <c r="C35" s="46" t="str">
        <f t="shared" ca="1" si="7"/>
        <v/>
      </c>
      <c r="D35" s="46" t="str">
        <f t="shared" ca="1" si="7"/>
        <v/>
      </c>
      <c r="E35" s="45" t="str">
        <f t="shared" ca="1" si="7"/>
        <v/>
      </c>
      <c r="F35" s="46" t="str">
        <f t="shared" ca="1" si="7"/>
        <v/>
      </c>
      <c r="G35" s="46" t="str">
        <f t="shared" ca="1" si="7"/>
        <v/>
      </c>
      <c r="H35" s="46" t="str">
        <f t="shared" ca="1" si="7"/>
        <v/>
      </c>
      <c r="I35" s="46" t="str">
        <f t="shared" ca="1" si="7"/>
        <v/>
      </c>
      <c r="J35" s="47" t="str">
        <f t="shared" ca="1" si="7"/>
        <v/>
      </c>
      <c r="K35" s="47" t="str">
        <f t="shared" ca="1" si="7"/>
        <v/>
      </c>
      <c r="L35" s="47" t="str">
        <f t="shared" ca="1" si="8"/>
        <v/>
      </c>
      <c r="M35" s="47" t="str">
        <f t="shared" ca="1" si="8"/>
        <v/>
      </c>
      <c r="N35" s="47" t="str">
        <f t="shared" ca="1" si="8"/>
        <v/>
      </c>
      <c r="O35" s="47" t="str">
        <f t="shared" ca="1" si="8"/>
        <v/>
      </c>
      <c r="P35" s="47" t="str">
        <f t="shared" ca="1" si="8"/>
        <v/>
      </c>
      <c r="Q35" s="47" t="str">
        <f t="shared" ca="1" si="8"/>
        <v/>
      </c>
      <c r="R35" s="47" t="str">
        <f t="shared" ca="1" si="8"/>
        <v/>
      </c>
      <c r="S35" s="47" t="str">
        <f t="shared" ca="1" si="8"/>
        <v/>
      </c>
      <c r="T35" s="47" t="str">
        <f t="shared" ca="1" si="8"/>
        <v/>
      </c>
      <c r="U35" s="47" t="str">
        <f t="shared" ca="1" si="8"/>
        <v/>
      </c>
      <c r="V35" s="47" t="str">
        <f t="shared" ca="1" si="9"/>
        <v/>
      </c>
      <c r="W35" s="47" t="str">
        <f t="shared" ca="1" si="9"/>
        <v/>
      </c>
      <c r="X35" s="47" t="str">
        <f t="shared" ca="1" si="9"/>
        <v/>
      </c>
      <c r="Y35" s="47" t="str">
        <f t="shared" ca="1" si="9"/>
        <v/>
      </c>
      <c r="Z35" s="47" t="str">
        <f t="shared" ca="1" si="9"/>
        <v/>
      </c>
      <c r="AA35" s="47" t="str">
        <f t="shared" ca="1" si="9"/>
        <v/>
      </c>
      <c r="AB35" s="47" t="str">
        <f t="shared" ca="1" si="9"/>
        <v/>
      </c>
      <c r="AC35" s="47" t="str">
        <f t="shared" ca="1" si="9"/>
        <v/>
      </c>
    </row>
    <row r="36" spans="1:29" x14ac:dyDescent="0.3">
      <c r="A36" s="5">
        <f t="shared" si="3"/>
        <v>26</v>
      </c>
      <c r="B36" s="45" t="str">
        <f t="shared" ca="1" si="7"/>
        <v/>
      </c>
      <c r="C36" s="46" t="str">
        <f t="shared" ca="1" si="7"/>
        <v/>
      </c>
      <c r="D36" s="46" t="str">
        <f t="shared" ca="1" si="7"/>
        <v/>
      </c>
      <c r="E36" s="45" t="str">
        <f t="shared" ca="1" si="7"/>
        <v/>
      </c>
      <c r="F36" s="46" t="str">
        <f t="shared" ca="1" si="7"/>
        <v/>
      </c>
      <c r="G36" s="46" t="str">
        <f t="shared" ca="1" si="7"/>
        <v/>
      </c>
      <c r="H36" s="46" t="str">
        <f t="shared" ca="1" si="7"/>
        <v/>
      </c>
      <c r="I36" s="46" t="str">
        <f t="shared" ca="1" si="7"/>
        <v/>
      </c>
      <c r="J36" s="47" t="str">
        <f t="shared" ca="1" si="7"/>
        <v/>
      </c>
      <c r="K36" s="47" t="str">
        <f t="shared" ca="1" si="7"/>
        <v/>
      </c>
      <c r="L36" s="47" t="str">
        <f t="shared" ca="1" si="8"/>
        <v/>
      </c>
      <c r="M36" s="47" t="str">
        <f t="shared" ca="1" si="8"/>
        <v/>
      </c>
      <c r="N36" s="47" t="str">
        <f t="shared" ca="1" si="8"/>
        <v/>
      </c>
      <c r="O36" s="47" t="str">
        <f t="shared" ca="1" si="8"/>
        <v/>
      </c>
      <c r="P36" s="47" t="str">
        <f t="shared" ca="1" si="8"/>
        <v/>
      </c>
      <c r="Q36" s="47" t="str">
        <f t="shared" ca="1" si="8"/>
        <v/>
      </c>
      <c r="R36" s="47" t="str">
        <f t="shared" ca="1" si="8"/>
        <v/>
      </c>
      <c r="S36" s="47" t="str">
        <f t="shared" ca="1" si="8"/>
        <v/>
      </c>
      <c r="T36" s="47" t="str">
        <f t="shared" ca="1" si="8"/>
        <v/>
      </c>
      <c r="U36" s="47" t="str">
        <f t="shared" ca="1" si="8"/>
        <v/>
      </c>
      <c r="V36" s="47" t="str">
        <f t="shared" ca="1" si="9"/>
        <v/>
      </c>
      <c r="W36" s="47" t="str">
        <f t="shared" ca="1" si="9"/>
        <v/>
      </c>
      <c r="X36" s="47" t="str">
        <f t="shared" ca="1" si="9"/>
        <v/>
      </c>
      <c r="Y36" s="47" t="str">
        <f t="shared" ca="1" si="9"/>
        <v/>
      </c>
      <c r="Z36" s="47" t="str">
        <f t="shared" ca="1" si="9"/>
        <v/>
      </c>
      <c r="AA36" s="47" t="str">
        <f t="shared" ca="1" si="9"/>
        <v/>
      </c>
      <c r="AB36" s="47" t="str">
        <f t="shared" ca="1" si="9"/>
        <v/>
      </c>
      <c r="AC36" s="47" t="str">
        <f t="shared" ca="1" si="9"/>
        <v/>
      </c>
    </row>
    <row r="37" spans="1:29" x14ac:dyDescent="0.3">
      <c r="A37" s="5">
        <f t="shared" si="3"/>
        <v>27</v>
      </c>
      <c r="B37" s="45" t="str">
        <f t="shared" ca="1" si="7"/>
        <v/>
      </c>
      <c r="C37" s="46" t="str">
        <f t="shared" ca="1" si="7"/>
        <v/>
      </c>
      <c r="D37" s="46" t="str">
        <f t="shared" ca="1" si="7"/>
        <v/>
      </c>
      <c r="E37" s="45" t="str">
        <f t="shared" ca="1" si="7"/>
        <v/>
      </c>
      <c r="F37" s="46" t="str">
        <f t="shared" ca="1" si="7"/>
        <v/>
      </c>
      <c r="G37" s="46" t="str">
        <f t="shared" ca="1" si="7"/>
        <v/>
      </c>
      <c r="H37" s="46" t="str">
        <f t="shared" ca="1" si="7"/>
        <v/>
      </c>
      <c r="I37" s="46" t="str">
        <f t="shared" ca="1" si="7"/>
        <v/>
      </c>
      <c r="J37" s="47" t="str">
        <f t="shared" ca="1" si="7"/>
        <v/>
      </c>
      <c r="K37" s="47" t="str">
        <f t="shared" ca="1" si="7"/>
        <v/>
      </c>
      <c r="L37" s="47" t="str">
        <f t="shared" ca="1" si="8"/>
        <v/>
      </c>
      <c r="M37" s="47" t="str">
        <f t="shared" ca="1" si="8"/>
        <v/>
      </c>
      <c r="N37" s="47" t="str">
        <f t="shared" ca="1" si="8"/>
        <v/>
      </c>
      <c r="O37" s="47" t="str">
        <f t="shared" ca="1" si="8"/>
        <v/>
      </c>
      <c r="P37" s="47" t="str">
        <f t="shared" ca="1" si="8"/>
        <v/>
      </c>
      <c r="Q37" s="47" t="str">
        <f t="shared" ca="1" si="8"/>
        <v/>
      </c>
      <c r="R37" s="47" t="str">
        <f t="shared" ca="1" si="8"/>
        <v/>
      </c>
      <c r="S37" s="47" t="str">
        <f t="shared" ca="1" si="8"/>
        <v/>
      </c>
      <c r="T37" s="47" t="str">
        <f t="shared" ca="1" si="8"/>
        <v/>
      </c>
      <c r="U37" s="47" t="str">
        <f t="shared" ca="1" si="8"/>
        <v/>
      </c>
      <c r="V37" s="47" t="str">
        <f t="shared" ca="1" si="9"/>
        <v/>
      </c>
      <c r="W37" s="47" t="str">
        <f t="shared" ca="1" si="9"/>
        <v/>
      </c>
      <c r="X37" s="47" t="str">
        <f t="shared" ca="1" si="9"/>
        <v/>
      </c>
      <c r="Y37" s="47" t="str">
        <f t="shared" ca="1" si="9"/>
        <v/>
      </c>
      <c r="Z37" s="47" t="str">
        <f t="shared" ca="1" si="9"/>
        <v/>
      </c>
      <c r="AA37" s="47" t="str">
        <f t="shared" ca="1" si="9"/>
        <v/>
      </c>
      <c r="AB37" s="47" t="str">
        <f t="shared" ca="1" si="9"/>
        <v/>
      </c>
      <c r="AC37" s="47" t="str">
        <f t="shared" ca="1" si="9"/>
        <v/>
      </c>
    </row>
    <row r="38" spans="1:29" x14ac:dyDescent="0.3">
      <c r="A38" s="5">
        <f t="shared" si="3"/>
        <v>28</v>
      </c>
      <c r="B38" s="45" t="str">
        <f t="shared" ca="1" si="7"/>
        <v/>
      </c>
      <c r="C38" s="46" t="str">
        <f t="shared" ca="1" si="7"/>
        <v/>
      </c>
      <c r="D38" s="46" t="str">
        <f t="shared" ca="1" si="7"/>
        <v/>
      </c>
      <c r="E38" s="45" t="str">
        <f t="shared" ca="1" si="7"/>
        <v/>
      </c>
      <c r="F38" s="46" t="str">
        <f t="shared" ca="1" si="7"/>
        <v/>
      </c>
      <c r="G38" s="46" t="str">
        <f t="shared" ca="1" si="7"/>
        <v/>
      </c>
      <c r="H38" s="46" t="str">
        <f t="shared" ca="1" si="7"/>
        <v/>
      </c>
      <c r="I38" s="46" t="str">
        <f t="shared" ca="1" si="7"/>
        <v/>
      </c>
      <c r="J38" s="47" t="str">
        <f t="shared" ca="1" si="7"/>
        <v/>
      </c>
      <c r="K38" s="47" t="str">
        <f t="shared" ca="1" si="7"/>
        <v/>
      </c>
      <c r="L38" s="47" t="str">
        <f t="shared" ca="1" si="8"/>
        <v/>
      </c>
      <c r="M38" s="47" t="str">
        <f t="shared" ca="1" si="8"/>
        <v/>
      </c>
      <c r="N38" s="47" t="str">
        <f t="shared" ca="1" si="8"/>
        <v/>
      </c>
      <c r="O38" s="47" t="str">
        <f t="shared" ca="1" si="8"/>
        <v/>
      </c>
      <c r="P38" s="47" t="str">
        <f t="shared" ca="1" si="8"/>
        <v/>
      </c>
      <c r="Q38" s="47" t="str">
        <f t="shared" ca="1" si="8"/>
        <v/>
      </c>
      <c r="R38" s="47" t="str">
        <f t="shared" ca="1" si="8"/>
        <v/>
      </c>
      <c r="S38" s="47" t="str">
        <f t="shared" ca="1" si="8"/>
        <v/>
      </c>
      <c r="T38" s="47" t="str">
        <f t="shared" ca="1" si="8"/>
        <v/>
      </c>
      <c r="U38" s="47" t="str">
        <f t="shared" ca="1" si="8"/>
        <v/>
      </c>
      <c r="V38" s="47" t="str">
        <f t="shared" ca="1" si="9"/>
        <v/>
      </c>
      <c r="W38" s="47" t="str">
        <f t="shared" ca="1" si="9"/>
        <v/>
      </c>
      <c r="X38" s="47" t="str">
        <f t="shared" ca="1" si="9"/>
        <v/>
      </c>
      <c r="Y38" s="47" t="str">
        <f t="shared" ca="1" si="9"/>
        <v/>
      </c>
      <c r="Z38" s="47" t="str">
        <f t="shared" ca="1" si="9"/>
        <v/>
      </c>
      <c r="AA38" s="47" t="str">
        <f t="shared" ca="1" si="9"/>
        <v/>
      </c>
      <c r="AB38" s="47" t="str">
        <f t="shared" ca="1" si="9"/>
        <v/>
      </c>
      <c r="AC38" s="47" t="str">
        <f t="shared" ca="1" si="9"/>
        <v/>
      </c>
    </row>
    <row r="39" spans="1:29" x14ac:dyDescent="0.3">
      <c r="A39" s="5">
        <f t="shared" si="3"/>
        <v>29</v>
      </c>
      <c r="B39" s="45" t="str">
        <f t="shared" ca="1" si="7"/>
        <v/>
      </c>
      <c r="C39" s="46" t="str">
        <f t="shared" ca="1" si="7"/>
        <v/>
      </c>
      <c r="D39" s="46" t="str">
        <f t="shared" ca="1" si="7"/>
        <v/>
      </c>
      <c r="E39" s="45" t="str">
        <f t="shared" ca="1" si="7"/>
        <v/>
      </c>
      <c r="F39" s="46" t="str">
        <f t="shared" ca="1" si="7"/>
        <v/>
      </c>
      <c r="G39" s="46" t="str">
        <f t="shared" ca="1" si="7"/>
        <v/>
      </c>
      <c r="H39" s="46" t="str">
        <f t="shared" ca="1" si="7"/>
        <v/>
      </c>
      <c r="I39" s="46" t="str">
        <f t="shared" ca="1" si="7"/>
        <v/>
      </c>
      <c r="J39" s="47" t="str">
        <f t="shared" ca="1" si="7"/>
        <v/>
      </c>
      <c r="K39" s="47" t="str">
        <f t="shared" ca="1" si="7"/>
        <v/>
      </c>
      <c r="L39" s="47" t="str">
        <f t="shared" ca="1" si="8"/>
        <v/>
      </c>
      <c r="M39" s="47" t="str">
        <f t="shared" ca="1" si="8"/>
        <v/>
      </c>
      <c r="N39" s="47" t="str">
        <f t="shared" ca="1" si="8"/>
        <v/>
      </c>
      <c r="O39" s="47" t="str">
        <f t="shared" ca="1" si="8"/>
        <v/>
      </c>
      <c r="P39" s="47" t="str">
        <f t="shared" ca="1" si="8"/>
        <v/>
      </c>
      <c r="Q39" s="47" t="str">
        <f t="shared" ca="1" si="8"/>
        <v/>
      </c>
      <c r="R39" s="47" t="str">
        <f t="shared" ca="1" si="8"/>
        <v/>
      </c>
      <c r="S39" s="47" t="str">
        <f t="shared" ca="1" si="8"/>
        <v/>
      </c>
      <c r="T39" s="47" t="str">
        <f t="shared" ca="1" si="8"/>
        <v/>
      </c>
      <c r="U39" s="47" t="str">
        <f t="shared" ca="1" si="8"/>
        <v/>
      </c>
      <c r="V39" s="47" t="str">
        <f t="shared" ca="1" si="9"/>
        <v/>
      </c>
      <c r="W39" s="47" t="str">
        <f t="shared" ca="1" si="9"/>
        <v/>
      </c>
      <c r="X39" s="47" t="str">
        <f t="shared" ca="1" si="9"/>
        <v/>
      </c>
      <c r="Y39" s="47" t="str">
        <f t="shared" ca="1" si="9"/>
        <v/>
      </c>
      <c r="Z39" s="47" t="str">
        <f t="shared" ca="1" si="9"/>
        <v/>
      </c>
      <c r="AA39" s="47" t="str">
        <f t="shared" ca="1" si="9"/>
        <v/>
      </c>
      <c r="AB39" s="47" t="str">
        <f t="shared" ca="1" si="9"/>
        <v/>
      </c>
      <c r="AC39" s="47" t="str">
        <f t="shared" ca="1" si="9"/>
        <v/>
      </c>
    </row>
    <row r="40" spans="1:29" x14ac:dyDescent="0.3">
      <c r="A40" s="5">
        <f t="shared" si="3"/>
        <v>30</v>
      </c>
      <c r="B40" s="45" t="str">
        <f t="shared" ca="1" si="7"/>
        <v/>
      </c>
      <c r="C40" s="46" t="str">
        <f t="shared" ca="1" si="7"/>
        <v/>
      </c>
      <c r="D40" s="46" t="str">
        <f t="shared" ca="1" si="7"/>
        <v/>
      </c>
      <c r="E40" s="45" t="str">
        <f t="shared" ca="1" si="7"/>
        <v/>
      </c>
      <c r="F40" s="46" t="str">
        <f t="shared" ca="1" si="7"/>
        <v/>
      </c>
      <c r="G40" s="46" t="str">
        <f t="shared" ca="1" si="7"/>
        <v/>
      </c>
      <c r="H40" s="46" t="str">
        <f t="shared" ca="1" si="7"/>
        <v/>
      </c>
      <c r="I40" s="46" t="str">
        <f t="shared" ca="1" si="7"/>
        <v/>
      </c>
      <c r="J40" s="47" t="str">
        <f t="shared" ca="1" si="7"/>
        <v/>
      </c>
      <c r="K40" s="47" t="str">
        <f t="shared" ca="1" si="7"/>
        <v/>
      </c>
      <c r="L40" s="47" t="str">
        <f t="shared" ca="1" si="8"/>
        <v/>
      </c>
      <c r="M40" s="47" t="str">
        <f t="shared" ca="1" si="8"/>
        <v/>
      </c>
      <c r="N40" s="47" t="str">
        <f t="shared" ca="1" si="8"/>
        <v/>
      </c>
      <c r="O40" s="47" t="str">
        <f t="shared" ca="1" si="8"/>
        <v/>
      </c>
      <c r="P40" s="47" t="str">
        <f t="shared" ca="1" si="8"/>
        <v/>
      </c>
      <c r="Q40" s="47" t="str">
        <f t="shared" ca="1" si="8"/>
        <v/>
      </c>
      <c r="R40" s="47" t="str">
        <f t="shared" ca="1" si="8"/>
        <v/>
      </c>
      <c r="S40" s="47" t="str">
        <f t="shared" ca="1" si="8"/>
        <v/>
      </c>
      <c r="T40" s="47" t="str">
        <f t="shared" ca="1" si="8"/>
        <v/>
      </c>
      <c r="U40" s="47" t="str">
        <f t="shared" ca="1" si="8"/>
        <v/>
      </c>
      <c r="V40" s="47" t="str">
        <f t="shared" ca="1" si="9"/>
        <v/>
      </c>
      <c r="W40" s="47" t="str">
        <f t="shared" ca="1" si="9"/>
        <v/>
      </c>
      <c r="X40" s="47" t="str">
        <f t="shared" ca="1" si="9"/>
        <v/>
      </c>
      <c r="Y40" s="47" t="str">
        <f t="shared" ca="1" si="9"/>
        <v/>
      </c>
      <c r="Z40" s="47" t="str">
        <f t="shared" ca="1" si="9"/>
        <v/>
      </c>
      <c r="AA40" s="47" t="str">
        <f t="shared" ca="1" si="9"/>
        <v/>
      </c>
      <c r="AB40" s="47" t="str">
        <f t="shared" ca="1" si="9"/>
        <v/>
      </c>
      <c r="AC40" s="47" t="str">
        <f t="shared" ca="1" si="9"/>
        <v/>
      </c>
    </row>
    <row r="41" spans="1:29" x14ac:dyDescent="0.3">
      <c r="A41" s="5">
        <f t="shared" si="3"/>
        <v>31</v>
      </c>
      <c r="B41" s="45" t="str">
        <f t="shared" ca="1" si="7"/>
        <v/>
      </c>
      <c r="C41" s="46" t="str">
        <f t="shared" ca="1" si="7"/>
        <v/>
      </c>
      <c r="D41" s="46" t="str">
        <f t="shared" ca="1" si="7"/>
        <v/>
      </c>
      <c r="E41" s="45" t="str">
        <f t="shared" ca="1" si="7"/>
        <v/>
      </c>
      <c r="F41" s="46" t="str">
        <f t="shared" ca="1" si="7"/>
        <v/>
      </c>
      <c r="G41" s="46" t="str">
        <f t="shared" ca="1" si="7"/>
        <v/>
      </c>
      <c r="H41" s="46" t="str">
        <f t="shared" ca="1" si="7"/>
        <v/>
      </c>
      <c r="I41" s="46" t="str">
        <f t="shared" ca="1" si="7"/>
        <v/>
      </c>
      <c r="J41" s="47" t="str">
        <f t="shared" ca="1" si="7"/>
        <v/>
      </c>
      <c r="K41" s="47" t="str">
        <f t="shared" ca="1" si="7"/>
        <v/>
      </c>
      <c r="L41" s="47" t="str">
        <f t="shared" ca="1" si="8"/>
        <v/>
      </c>
      <c r="M41" s="47" t="str">
        <f t="shared" ca="1" si="8"/>
        <v/>
      </c>
      <c r="N41" s="47" t="str">
        <f t="shared" ca="1" si="8"/>
        <v/>
      </c>
      <c r="O41" s="47" t="str">
        <f t="shared" ca="1" si="8"/>
        <v/>
      </c>
      <c r="P41" s="47" t="str">
        <f t="shared" ca="1" si="8"/>
        <v/>
      </c>
      <c r="Q41" s="47" t="str">
        <f t="shared" ca="1" si="8"/>
        <v/>
      </c>
      <c r="R41" s="47" t="str">
        <f t="shared" ca="1" si="8"/>
        <v/>
      </c>
      <c r="S41" s="47" t="str">
        <f t="shared" ca="1" si="8"/>
        <v/>
      </c>
      <c r="T41" s="47" t="str">
        <f t="shared" ca="1" si="8"/>
        <v/>
      </c>
      <c r="U41" s="47" t="str">
        <f t="shared" ca="1" si="8"/>
        <v/>
      </c>
      <c r="V41" s="47" t="str">
        <f t="shared" ca="1" si="9"/>
        <v/>
      </c>
      <c r="W41" s="47" t="str">
        <f t="shared" ca="1" si="9"/>
        <v/>
      </c>
      <c r="X41" s="47" t="str">
        <f t="shared" ca="1" si="9"/>
        <v/>
      </c>
      <c r="Y41" s="47" t="str">
        <f t="shared" ca="1" si="9"/>
        <v/>
      </c>
      <c r="Z41" s="47" t="str">
        <f t="shared" ca="1" si="9"/>
        <v/>
      </c>
      <c r="AA41" s="47" t="str">
        <f t="shared" ca="1" si="9"/>
        <v/>
      </c>
      <c r="AB41" s="47" t="str">
        <f t="shared" ca="1" si="9"/>
        <v/>
      </c>
      <c r="AC41" s="47" t="str">
        <f t="shared" ca="1" si="9"/>
        <v/>
      </c>
    </row>
    <row r="42" spans="1:29" x14ac:dyDescent="0.3">
      <c r="A42" s="5">
        <f t="shared" si="3"/>
        <v>32</v>
      </c>
      <c r="B42" s="45" t="str">
        <f t="shared" ref="B42:K51" ca="1" si="10">IFERROR(IF(INDIRECT("raw!R"&amp;$A42&amp;"C"&amp;B$10,FALSE)&lt;&gt;"",INDIRECT("raw!R"&amp;$A42&amp;"C"&amp;B$10,FALSE),""),"")</f>
        <v/>
      </c>
      <c r="C42" s="46" t="str">
        <f t="shared" ca="1" si="10"/>
        <v/>
      </c>
      <c r="D42" s="46" t="str">
        <f t="shared" ca="1" si="10"/>
        <v/>
      </c>
      <c r="E42" s="45" t="str">
        <f t="shared" ca="1" si="10"/>
        <v/>
      </c>
      <c r="F42" s="46" t="str">
        <f t="shared" ca="1" si="10"/>
        <v/>
      </c>
      <c r="G42" s="46" t="str">
        <f t="shared" ca="1" si="10"/>
        <v/>
      </c>
      <c r="H42" s="46" t="str">
        <f t="shared" ca="1" si="10"/>
        <v/>
      </c>
      <c r="I42" s="46" t="str">
        <f t="shared" ca="1" si="10"/>
        <v/>
      </c>
      <c r="J42" s="47" t="str">
        <f t="shared" ca="1" si="10"/>
        <v/>
      </c>
      <c r="K42" s="47" t="str">
        <f t="shared" ca="1" si="10"/>
        <v/>
      </c>
      <c r="L42" s="47" t="str">
        <f t="shared" ref="L42:U51" ca="1" si="11">IFERROR(IF(INDIRECT("raw!R"&amp;$A42&amp;"C"&amp;L$10,FALSE)&lt;&gt;"",INDIRECT("raw!R"&amp;$A42&amp;"C"&amp;L$10,FALSE),""),"")</f>
        <v/>
      </c>
      <c r="M42" s="47" t="str">
        <f t="shared" ca="1" si="11"/>
        <v/>
      </c>
      <c r="N42" s="47" t="str">
        <f t="shared" ca="1" si="11"/>
        <v/>
      </c>
      <c r="O42" s="47" t="str">
        <f t="shared" ca="1" si="11"/>
        <v/>
      </c>
      <c r="P42" s="47" t="str">
        <f t="shared" ca="1" si="11"/>
        <v/>
      </c>
      <c r="Q42" s="47" t="str">
        <f t="shared" ca="1" si="11"/>
        <v/>
      </c>
      <c r="R42" s="47" t="str">
        <f t="shared" ca="1" si="11"/>
        <v/>
      </c>
      <c r="S42" s="47" t="str">
        <f t="shared" ca="1" si="11"/>
        <v/>
      </c>
      <c r="T42" s="47" t="str">
        <f t="shared" ca="1" si="11"/>
        <v/>
      </c>
      <c r="U42" s="47" t="str">
        <f t="shared" ca="1" si="11"/>
        <v/>
      </c>
      <c r="V42" s="47" t="str">
        <f t="shared" ref="V42:AC51" ca="1" si="12">IFERROR(IF(INDIRECT("raw!R"&amp;$A42&amp;"C"&amp;V$10,FALSE)&lt;&gt;"",INDIRECT("raw!R"&amp;$A42&amp;"C"&amp;V$10,FALSE),""),"")</f>
        <v/>
      </c>
      <c r="W42" s="47" t="str">
        <f t="shared" ca="1" si="12"/>
        <v/>
      </c>
      <c r="X42" s="47" t="str">
        <f t="shared" ca="1" si="12"/>
        <v/>
      </c>
      <c r="Y42" s="47" t="str">
        <f t="shared" ca="1" si="12"/>
        <v/>
      </c>
      <c r="Z42" s="47" t="str">
        <f t="shared" ca="1" si="12"/>
        <v/>
      </c>
      <c r="AA42" s="47" t="str">
        <f t="shared" ca="1" si="12"/>
        <v/>
      </c>
      <c r="AB42" s="47" t="str">
        <f t="shared" ca="1" si="12"/>
        <v/>
      </c>
      <c r="AC42" s="47" t="str">
        <f t="shared" ca="1" si="12"/>
        <v/>
      </c>
    </row>
    <row r="43" spans="1:29" x14ac:dyDescent="0.3">
      <c r="A43" s="5">
        <f t="shared" si="3"/>
        <v>33</v>
      </c>
      <c r="B43" s="45" t="str">
        <f t="shared" ca="1" si="10"/>
        <v/>
      </c>
      <c r="C43" s="46" t="str">
        <f t="shared" ca="1" si="10"/>
        <v/>
      </c>
      <c r="D43" s="46" t="str">
        <f t="shared" ca="1" si="10"/>
        <v/>
      </c>
      <c r="E43" s="45" t="str">
        <f t="shared" ca="1" si="10"/>
        <v/>
      </c>
      <c r="F43" s="46" t="str">
        <f t="shared" ca="1" si="10"/>
        <v/>
      </c>
      <c r="G43" s="46" t="str">
        <f t="shared" ca="1" si="10"/>
        <v/>
      </c>
      <c r="H43" s="46" t="str">
        <f t="shared" ca="1" si="10"/>
        <v/>
      </c>
      <c r="I43" s="46" t="str">
        <f t="shared" ca="1" si="10"/>
        <v/>
      </c>
      <c r="J43" s="47" t="str">
        <f t="shared" ca="1" si="10"/>
        <v/>
      </c>
      <c r="K43" s="47" t="str">
        <f t="shared" ca="1" si="10"/>
        <v/>
      </c>
      <c r="L43" s="47" t="str">
        <f t="shared" ca="1" si="11"/>
        <v/>
      </c>
      <c r="M43" s="47" t="str">
        <f t="shared" ca="1" si="11"/>
        <v/>
      </c>
      <c r="N43" s="47" t="str">
        <f t="shared" ca="1" si="11"/>
        <v/>
      </c>
      <c r="O43" s="47" t="str">
        <f t="shared" ca="1" si="11"/>
        <v/>
      </c>
      <c r="P43" s="47" t="str">
        <f t="shared" ca="1" si="11"/>
        <v/>
      </c>
      <c r="Q43" s="47" t="str">
        <f t="shared" ca="1" si="11"/>
        <v/>
      </c>
      <c r="R43" s="47" t="str">
        <f t="shared" ca="1" si="11"/>
        <v/>
      </c>
      <c r="S43" s="47" t="str">
        <f t="shared" ca="1" si="11"/>
        <v/>
      </c>
      <c r="T43" s="47" t="str">
        <f t="shared" ca="1" si="11"/>
        <v/>
      </c>
      <c r="U43" s="47" t="str">
        <f t="shared" ca="1" si="11"/>
        <v/>
      </c>
      <c r="V43" s="47" t="str">
        <f t="shared" ca="1" si="12"/>
        <v/>
      </c>
      <c r="W43" s="47" t="str">
        <f t="shared" ca="1" si="12"/>
        <v/>
      </c>
      <c r="X43" s="47" t="str">
        <f t="shared" ca="1" si="12"/>
        <v/>
      </c>
      <c r="Y43" s="47" t="str">
        <f t="shared" ca="1" si="12"/>
        <v/>
      </c>
      <c r="Z43" s="47" t="str">
        <f t="shared" ca="1" si="12"/>
        <v/>
      </c>
      <c r="AA43" s="47" t="str">
        <f t="shared" ca="1" si="12"/>
        <v/>
      </c>
      <c r="AB43" s="47" t="str">
        <f t="shared" ca="1" si="12"/>
        <v/>
      </c>
      <c r="AC43" s="47" t="str">
        <f t="shared" ca="1" si="12"/>
        <v/>
      </c>
    </row>
    <row r="44" spans="1:29" x14ac:dyDescent="0.3">
      <c r="A44" s="5">
        <f t="shared" si="3"/>
        <v>34</v>
      </c>
      <c r="B44" s="45" t="str">
        <f t="shared" ca="1" si="10"/>
        <v/>
      </c>
      <c r="C44" s="46" t="str">
        <f t="shared" ca="1" si="10"/>
        <v/>
      </c>
      <c r="D44" s="46" t="str">
        <f t="shared" ca="1" si="10"/>
        <v/>
      </c>
      <c r="E44" s="45" t="str">
        <f t="shared" ca="1" si="10"/>
        <v/>
      </c>
      <c r="F44" s="46" t="str">
        <f t="shared" ca="1" si="10"/>
        <v/>
      </c>
      <c r="G44" s="46" t="str">
        <f t="shared" ca="1" si="10"/>
        <v/>
      </c>
      <c r="H44" s="46" t="str">
        <f t="shared" ca="1" si="10"/>
        <v/>
      </c>
      <c r="I44" s="46" t="str">
        <f t="shared" ca="1" si="10"/>
        <v/>
      </c>
      <c r="J44" s="47" t="str">
        <f t="shared" ca="1" si="10"/>
        <v/>
      </c>
      <c r="K44" s="47" t="str">
        <f t="shared" ca="1" si="10"/>
        <v/>
      </c>
      <c r="L44" s="47" t="str">
        <f t="shared" ca="1" si="11"/>
        <v/>
      </c>
      <c r="M44" s="47" t="str">
        <f t="shared" ca="1" si="11"/>
        <v/>
      </c>
      <c r="N44" s="47" t="str">
        <f t="shared" ca="1" si="11"/>
        <v/>
      </c>
      <c r="O44" s="47" t="str">
        <f t="shared" ca="1" si="11"/>
        <v/>
      </c>
      <c r="P44" s="47" t="str">
        <f t="shared" ca="1" si="11"/>
        <v/>
      </c>
      <c r="Q44" s="47" t="str">
        <f t="shared" ca="1" si="11"/>
        <v/>
      </c>
      <c r="R44" s="47" t="str">
        <f t="shared" ca="1" si="11"/>
        <v/>
      </c>
      <c r="S44" s="47" t="str">
        <f t="shared" ca="1" si="11"/>
        <v/>
      </c>
      <c r="T44" s="47" t="str">
        <f t="shared" ca="1" si="11"/>
        <v/>
      </c>
      <c r="U44" s="47" t="str">
        <f t="shared" ca="1" si="11"/>
        <v/>
      </c>
      <c r="V44" s="47" t="str">
        <f t="shared" ca="1" si="12"/>
        <v/>
      </c>
      <c r="W44" s="47" t="str">
        <f t="shared" ca="1" si="12"/>
        <v/>
      </c>
      <c r="X44" s="47" t="str">
        <f t="shared" ca="1" si="12"/>
        <v/>
      </c>
      <c r="Y44" s="47" t="str">
        <f t="shared" ca="1" si="12"/>
        <v/>
      </c>
      <c r="Z44" s="47" t="str">
        <f t="shared" ca="1" si="12"/>
        <v/>
      </c>
      <c r="AA44" s="47" t="str">
        <f t="shared" ca="1" si="12"/>
        <v/>
      </c>
      <c r="AB44" s="47" t="str">
        <f t="shared" ca="1" si="12"/>
        <v/>
      </c>
      <c r="AC44" s="47" t="str">
        <f t="shared" ca="1" si="12"/>
        <v/>
      </c>
    </row>
    <row r="45" spans="1:29" x14ac:dyDescent="0.3">
      <c r="A45" s="5">
        <f t="shared" si="3"/>
        <v>35</v>
      </c>
      <c r="B45" s="45" t="str">
        <f t="shared" ca="1" si="10"/>
        <v/>
      </c>
      <c r="C45" s="46" t="str">
        <f t="shared" ca="1" si="10"/>
        <v/>
      </c>
      <c r="D45" s="46" t="str">
        <f t="shared" ca="1" si="10"/>
        <v/>
      </c>
      <c r="E45" s="45" t="str">
        <f t="shared" ca="1" si="10"/>
        <v/>
      </c>
      <c r="F45" s="46" t="str">
        <f t="shared" ca="1" si="10"/>
        <v/>
      </c>
      <c r="G45" s="46" t="str">
        <f t="shared" ca="1" si="10"/>
        <v/>
      </c>
      <c r="H45" s="46" t="str">
        <f t="shared" ca="1" si="10"/>
        <v/>
      </c>
      <c r="I45" s="46" t="str">
        <f t="shared" ca="1" si="10"/>
        <v/>
      </c>
      <c r="J45" s="47" t="str">
        <f t="shared" ca="1" si="10"/>
        <v/>
      </c>
      <c r="K45" s="47" t="str">
        <f t="shared" ca="1" si="10"/>
        <v/>
      </c>
      <c r="L45" s="47" t="str">
        <f t="shared" ca="1" si="11"/>
        <v/>
      </c>
      <c r="M45" s="47" t="str">
        <f t="shared" ca="1" si="11"/>
        <v/>
      </c>
      <c r="N45" s="47" t="str">
        <f t="shared" ca="1" si="11"/>
        <v/>
      </c>
      <c r="O45" s="47" t="str">
        <f t="shared" ca="1" si="11"/>
        <v/>
      </c>
      <c r="P45" s="47" t="str">
        <f t="shared" ca="1" si="11"/>
        <v/>
      </c>
      <c r="Q45" s="47" t="str">
        <f t="shared" ca="1" si="11"/>
        <v/>
      </c>
      <c r="R45" s="47" t="str">
        <f t="shared" ca="1" si="11"/>
        <v/>
      </c>
      <c r="S45" s="47" t="str">
        <f t="shared" ca="1" si="11"/>
        <v/>
      </c>
      <c r="T45" s="47" t="str">
        <f t="shared" ca="1" si="11"/>
        <v/>
      </c>
      <c r="U45" s="47" t="str">
        <f t="shared" ca="1" si="11"/>
        <v/>
      </c>
      <c r="V45" s="47" t="str">
        <f t="shared" ca="1" si="12"/>
        <v/>
      </c>
      <c r="W45" s="47" t="str">
        <f t="shared" ca="1" si="12"/>
        <v/>
      </c>
      <c r="X45" s="47" t="str">
        <f t="shared" ca="1" si="12"/>
        <v/>
      </c>
      <c r="Y45" s="47" t="str">
        <f t="shared" ca="1" si="12"/>
        <v/>
      </c>
      <c r="Z45" s="47" t="str">
        <f t="shared" ca="1" si="12"/>
        <v/>
      </c>
      <c r="AA45" s="47" t="str">
        <f t="shared" ca="1" si="12"/>
        <v/>
      </c>
      <c r="AB45" s="47" t="str">
        <f t="shared" ca="1" si="12"/>
        <v/>
      </c>
      <c r="AC45" s="47" t="str">
        <f t="shared" ca="1" si="12"/>
        <v/>
      </c>
    </row>
    <row r="46" spans="1:29" x14ac:dyDescent="0.3">
      <c r="A46" s="5">
        <f t="shared" si="3"/>
        <v>36</v>
      </c>
      <c r="B46" s="45" t="str">
        <f t="shared" ca="1" si="10"/>
        <v/>
      </c>
      <c r="C46" s="46" t="str">
        <f t="shared" ca="1" si="10"/>
        <v/>
      </c>
      <c r="D46" s="46" t="str">
        <f t="shared" ca="1" si="10"/>
        <v/>
      </c>
      <c r="E46" s="45" t="str">
        <f t="shared" ca="1" si="10"/>
        <v/>
      </c>
      <c r="F46" s="46" t="str">
        <f t="shared" ca="1" si="10"/>
        <v/>
      </c>
      <c r="G46" s="46" t="str">
        <f t="shared" ca="1" si="10"/>
        <v/>
      </c>
      <c r="H46" s="46" t="str">
        <f t="shared" ca="1" si="10"/>
        <v/>
      </c>
      <c r="I46" s="46" t="str">
        <f t="shared" ca="1" si="10"/>
        <v/>
      </c>
      <c r="J46" s="47" t="str">
        <f t="shared" ca="1" si="10"/>
        <v/>
      </c>
      <c r="K46" s="47" t="str">
        <f t="shared" ca="1" si="10"/>
        <v/>
      </c>
      <c r="L46" s="47" t="str">
        <f t="shared" ca="1" si="11"/>
        <v/>
      </c>
      <c r="M46" s="47" t="str">
        <f t="shared" ca="1" si="11"/>
        <v/>
      </c>
      <c r="N46" s="47" t="str">
        <f t="shared" ca="1" si="11"/>
        <v/>
      </c>
      <c r="O46" s="47" t="str">
        <f t="shared" ca="1" si="11"/>
        <v/>
      </c>
      <c r="P46" s="47" t="str">
        <f t="shared" ca="1" si="11"/>
        <v/>
      </c>
      <c r="Q46" s="47" t="str">
        <f t="shared" ca="1" si="11"/>
        <v/>
      </c>
      <c r="R46" s="47" t="str">
        <f t="shared" ca="1" si="11"/>
        <v/>
      </c>
      <c r="S46" s="47" t="str">
        <f t="shared" ca="1" si="11"/>
        <v/>
      </c>
      <c r="T46" s="47" t="str">
        <f t="shared" ca="1" si="11"/>
        <v/>
      </c>
      <c r="U46" s="47" t="str">
        <f t="shared" ca="1" si="11"/>
        <v/>
      </c>
      <c r="V46" s="47" t="str">
        <f t="shared" ca="1" si="12"/>
        <v/>
      </c>
      <c r="W46" s="47" t="str">
        <f t="shared" ca="1" si="12"/>
        <v/>
      </c>
      <c r="X46" s="47" t="str">
        <f t="shared" ca="1" si="12"/>
        <v/>
      </c>
      <c r="Y46" s="47" t="str">
        <f t="shared" ca="1" si="12"/>
        <v/>
      </c>
      <c r="Z46" s="47" t="str">
        <f t="shared" ca="1" si="12"/>
        <v/>
      </c>
      <c r="AA46" s="47" t="str">
        <f t="shared" ca="1" si="12"/>
        <v/>
      </c>
      <c r="AB46" s="47" t="str">
        <f t="shared" ca="1" si="12"/>
        <v/>
      </c>
      <c r="AC46" s="47" t="str">
        <f t="shared" ca="1" si="12"/>
        <v/>
      </c>
    </row>
    <row r="47" spans="1:29" x14ac:dyDescent="0.3">
      <c r="A47" s="5">
        <f t="shared" si="3"/>
        <v>37</v>
      </c>
      <c r="B47" s="45" t="str">
        <f t="shared" ca="1" si="10"/>
        <v/>
      </c>
      <c r="C47" s="46" t="str">
        <f t="shared" ca="1" si="10"/>
        <v/>
      </c>
      <c r="D47" s="46" t="str">
        <f t="shared" ca="1" si="10"/>
        <v/>
      </c>
      <c r="E47" s="45" t="str">
        <f t="shared" ca="1" si="10"/>
        <v/>
      </c>
      <c r="F47" s="46" t="str">
        <f t="shared" ca="1" si="10"/>
        <v/>
      </c>
      <c r="G47" s="46" t="str">
        <f t="shared" ca="1" si="10"/>
        <v/>
      </c>
      <c r="H47" s="46" t="str">
        <f t="shared" ca="1" si="10"/>
        <v/>
      </c>
      <c r="I47" s="46" t="str">
        <f t="shared" ca="1" si="10"/>
        <v/>
      </c>
      <c r="J47" s="47" t="str">
        <f t="shared" ca="1" si="10"/>
        <v/>
      </c>
      <c r="K47" s="47" t="str">
        <f t="shared" ca="1" si="10"/>
        <v/>
      </c>
      <c r="L47" s="47" t="str">
        <f t="shared" ca="1" si="11"/>
        <v/>
      </c>
      <c r="M47" s="47" t="str">
        <f t="shared" ca="1" si="11"/>
        <v/>
      </c>
      <c r="N47" s="47" t="str">
        <f t="shared" ca="1" si="11"/>
        <v/>
      </c>
      <c r="O47" s="47" t="str">
        <f t="shared" ca="1" si="11"/>
        <v/>
      </c>
      <c r="P47" s="47" t="str">
        <f t="shared" ca="1" si="11"/>
        <v/>
      </c>
      <c r="Q47" s="47" t="str">
        <f t="shared" ca="1" si="11"/>
        <v/>
      </c>
      <c r="R47" s="47" t="str">
        <f t="shared" ca="1" si="11"/>
        <v/>
      </c>
      <c r="S47" s="47" t="str">
        <f t="shared" ca="1" si="11"/>
        <v/>
      </c>
      <c r="T47" s="47" t="str">
        <f t="shared" ca="1" si="11"/>
        <v/>
      </c>
      <c r="U47" s="47" t="str">
        <f t="shared" ca="1" si="11"/>
        <v/>
      </c>
      <c r="V47" s="47" t="str">
        <f t="shared" ca="1" si="12"/>
        <v/>
      </c>
      <c r="W47" s="47" t="str">
        <f t="shared" ca="1" si="12"/>
        <v/>
      </c>
      <c r="X47" s="47" t="str">
        <f t="shared" ca="1" si="12"/>
        <v/>
      </c>
      <c r="Y47" s="47" t="str">
        <f t="shared" ca="1" si="12"/>
        <v/>
      </c>
      <c r="Z47" s="47" t="str">
        <f t="shared" ca="1" si="12"/>
        <v/>
      </c>
      <c r="AA47" s="47" t="str">
        <f t="shared" ca="1" si="12"/>
        <v/>
      </c>
      <c r="AB47" s="47" t="str">
        <f t="shared" ca="1" si="12"/>
        <v/>
      </c>
      <c r="AC47" s="47" t="str">
        <f t="shared" ca="1" si="12"/>
        <v/>
      </c>
    </row>
    <row r="48" spans="1:29" x14ac:dyDescent="0.3">
      <c r="A48" s="5">
        <f t="shared" si="3"/>
        <v>38</v>
      </c>
      <c r="B48" s="45" t="str">
        <f t="shared" ca="1" si="10"/>
        <v/>
      </c>
      <c r="C48" s="46" t="str">
        <f t="shared" ca="1" si="10"/>
        <v/>
      </c>
      <c r="D48" s="46" t="str">
        <f t="shared" ca="1" si="10"/>
        <v/>
      </c>
      <c r="E48" s="45" t="str">
        <f t="shared" ca="1" si="10"/>
        <v/>
      </c>
      <c r="F48" s="46" t="str">
        <f t="shared" ca="1" si="10"/>
        <v/>
      </c>
      <c r="G48" s="46" t="str">
        <f t="shared" ca="1" si="10"/>
        <v/>
      </c>
      <c r="H48" s="46" t="str">
        <f t="shared" ca="1" si="10"/>
        <v/>
      </c>
      <c r="I48" s="46" t="str">
        <f t="shared" ca="1" si="10"/>
        <v/>
      </c>
      <c r="J48" s="47" t="str">
        <f t="shared" ca="1" si="10"/>
        <v/>
      </c>
      <c r="K48" s="47" t="str">
        <f t="shared" ca="1" si="10"/>
        <v/>
      </c>
      <c r="L48" s="47" t="str">
        <f t="shared" ca="1" si="11"/>
        <v/>
      </c>
      <c r="M48" s="47" t="str">
        <f t="shared" ca="1" si="11"/>
        <v/>
      </c>
      <c r="N48" s="47" t="str">
        <f t="shared" ca="1" si="11"/>
        <v/>
      </c>
      <c r="O48" s="47" t="str">
        <f t="shared" ca="1" si="11"/>
        <v/>
      </c>
      <c r="P48" s="47" t="str">
        <f t="shared" ca="1" si="11"/>
        <v/>
      </c>
      <c r="Q48" s="47" t="str">
        <f t="shared" ca="1" si="11"/>
        <v/>
      </c>
      <c r="R48" s="47" t="str">
        <f t="shared" ca="1" si="11"/>
        <v/>
      </c>
      <c r="S48" s="47" t="str">
        <f t="shared" ca="1" si="11"/>
        <v/>
      </c>
      <c r="T48" s="47" t="str">
        <f t="shared" ca="1" si="11"/>
        <v/>
      </c>
      <c r="U48" s="47" t="str">
        <f t="shared" ca="1" si="11"/>
        <v/>
      </c>
      <c r="V48" s="47" t="str">
        <f t="shared" ca="1" si="12"/>
        <v/>
      </c>
      <c r="W48" s="47" t="str">
        <f t="shared" ca="1" si="12"/>
        <v/>
      </c>
      <c r="X48" s="47" t="str">
        <f t="shared" ca="1" si="12"/>
        <v/>
      </c>
      <c r="Y48" s="47" t="str">
        <f t="shared" ca="1" si="12"/>
        <v/>
      </c>
      <c r="Z48" s="47" t="str">
        <f t="shared" ca="1" si="12"/>
        <v/>
      </c>
      <c r="AA48" s="47" t="str">
        <f t="shared" ca="1" si="12"/>
        <v/>
      </c>
      <c r="AB48" s="47" t="str">
        <f t="shared" ca="1" si="12"/>
        <v/>
      </c>
      <c r="AC48" s="47" t="str">
        <f t="shared" ca="1" si="12"/>
        <v/>
      </c>
    </row>
    <row r="49" spans="1:29" x14ac:dyDescent="0.3">
      <c r="A49" s="5">
        <f t="shared" si="3"/>
        <v>39</v>
      </c>
      <c r="B49" s="45" t="str">
        <f t="shared" ca="1" si="10"/>
        <v/>
      </c>
      <c r="C49" s="46" t="str">
        <f t="shared" ca="1" si="10"/>
        <v/>
      </c>
      <c r="D49" s="46" t="str">
        <f t="shared" ca="1" si="10"/>
        <v/>
      </c>
      <c r="E49" s="45" t="str">
        <f t="shared" ca="1" si="10"/>
        <v/>
      </c>
      <c r="F49" s="46" t="str">
        <f t="shared" ca="1" si="10"/>
        <v/>
      </c>
      <c r="G49" s="46" t="str">
        <f t="shared" ca="1" si="10"/>
        <v/>
      </c>
      <c r="H49" s="46" t="str">
        <f t="shared" ca="1" si="10"/>
        <v/>
      </c>
      <c r="I49" s="46" t="str">
        <f t="shared" ca="1" si="10"/>
        <v/>
      </c>
      <c r="J49" s="47" t="str">
        <f t="shared" ca="1" si="10"/>
        <v/>
      </c>
      <c r="K49" s="47" t="str">
        <f t="shared" ca="1" si="10"/>
        <v/>
      </c>
      <c r="L49" s="47" t="str">
        <f t="shared" ca="1" si="11"/>
        <v/>
      </c>
      <c r="M49" s="47" t="str">
        <f t="shared" ca="1" si="11"/>
        <v/>
      </c>
      <c r="N49" s="47" t="str">
        <f t="shared" ca="1" si="11"/>
        <v/>
      </c>
      <c r="O49" s="47" t="str">
        <f t="shared" ca="1" si="11"/>
        <v/>
      </c>
      <c r="P49" s="47" t="str">
        <f t="shared" ca="1" si="11"/>
        <v/>
      </c>
      <c r="Q49" s="47" t="str">
        <f t="shared" ca="1" si="11"/>
        <v/>
      </c>
      <c r="R49" s="47" t="str">
        <f t="shared" ca="1" si="11"/>
        <v/>
      </c>
      <c r="S49" s="47" t="str">
        <f t="shared" ca="1" si="11"/>
        <v/>
      </c>
      <c r="T49" s="47" t="str">
        <f t="shared" ca="1" si="11"/>
        <v/>
      </c>
      <c r="U49" s="47" t="str">
        <f t="shared" ca="1" si="11"/>
        <v/>
      </c>
      <c r="V49" s="47" t="str">
        <f t="shared" ca="1" si="12"/>
        <v/>
      </c>
      <c r="W49" s="47" t="str">
        <f t="shared" ca="1" si="12"/>
        <v/>
      </c>
      <c r="X49" s="47" t="str">
        <f t="shared" ca="1" si="12"/>
        <v/>
      </c>
      <c r="Y49" s="47" t="str">
        <f t="shared" ca="1" si="12"/>
        <v/>
      </c>
      <c r="Z49" s="47" t="str">
        <f t="shared" ca="1" si="12"/>
        <v/>
      </c>
      <c r="AA49" s="47" t="str">
        <f t="shared" ca="1" si="12"/>
        <v/>
      </c>
      <c r="AB49" s="47" t="str">
        <f t="shared" ca="1" si="12"/>
        <v/>
      </c>
      <c r="AC49" s="47" t="str">
        <f t="shared" ca="1" si="12"/>
        <v/>
      </c>
    </row>
    <row r="50" spans="1:29" x14ac:dyDescent="0.3">
      <c r="A50" s="5">
        <f t="shared" si="3"/>
        <v>40</v>
      </c>
      <c r="B50" s="45" t="str">
        <f t="shared" ca="1" si="10"/>
        <v/>
      </c>
      <c r="C50" s="46" t="str">
        <f t="shared" ca="1" si="10"/>
        <v/>
      </c>
      <c r="D50" s="46" t="str">
        <f t="shared" ca="1" si="10"/>
        <v/>
      </c>
      <c r="E50" s="45" t="str">
        <f t="shared" ca="1" si="10"/>
        <v/>
      </c>
      <c r="F50" s="46" t="str">
        <f t="shared" ca="1" si="10"/>
        <v/>
      </c>
      <c r="G50" s="46" t="str">
        <f t="shared" ca="1" si="10"/>
        <v/>
      </c>
      <c r="H50" s="46" t="str">
        <f t="shared" ca="1" si="10"/>
        <v/>
      </c>
      <c r="I50" s="46" t="str">
        <f t="shared" ca="1" si="10"/>
        <v/>
      </c>
      <c r="J50" s="47" t="str">
        <f t="shared" ca="1" si="10"/>
        <v/>
      </c>
      <c r="K50" s="47" t="str">
        <f t="shared" ca="1" si="10"/>
        <v/>
      </c>
      <c r="L50" s="47" t="str">
        <f t="shared" ca="1" si="11"/>
        <v/>
      </c>
      <c r="M50" s="47" t="str">
        <f t="shared" ca="1" si="11"/>
        <v/>
      </c>
      <c r="N50" s="47" t="str">
        <f t="shared" ca="1" si="11"/>
        <v/>
      </c>
      <c r="O50" s="47" t="str">
        <f t="shared" ca="1" si="11"/>
        <v/>
      </c>
      <c r="P50" s="47" t="str">
        <f t="shared" ca="1" si="11"/>
        <v/>
      </c>
      <c r="Q50" s="47" t="str">
        <f t="shared" ca="1" si="11"/>
        <v/>
      </c>
      <c r="R50" s="47" t="str">
        <f t="shared" ca="1" si="11"/>
        <v/>
      </c>
      <c r="S50" s="47" t="str">
        <f t="shared" ca="1" si="11"/>
        <v/>
      </c>
      <c r="T50" s="47" t="str">
        <f t="shared" ca="1" si="11"/>
        <v/>
      </c>
      <c r="U50" s="47" t="str">
        <f t="shared" ca="1" si="11"/>
        <v/>
      </c>
      <c r="V50" s="47" t="str">
        <f t="shared" ca="1" si="12"/>
        <v/>
      </c>
      <c r="W50" s="47" t="str">
        <f t="shared" ca="1" si="12"/>
        <v/>
      </c>
      <c r="X50" s="47" t="str">
        <f t="shared" ca="1" si="12"/>
        <v/>
      </c>
      <c r="Y50" s="47" t="str">
        <f t="shared" ca="1" si="12"/>
        <v/>
      </c>
      <c r="Z50" s="47" t="str">
        <f t="shared" ca="1" si="12"/>
        <v/>
      </c>
      <c r="AA50" s="47" t="str">
        <f t="shared" ca="1" si="12"/>
        <v/>
      </c>
      <c r="AB50" s="47" t="str">
        <f t="shared" ca="1" si="12"/>
        <v/>
      </c>
      <c r="AC50" s="47" t="str">
        <f t="shared" ca="1" si="12"/>
        <v/>
      </c>
    </row>
    <row r="51" spans="1:29" x14ac:dyDescent="0.3">
      <c r="A51" s="5">
        <f t="shared" si="3"/>
        <v>41</v>
      </c>
      <c r="B51" s="45" t="str">
        <f t="shared" ca="1" si="10"/>
        <v/>
      </c>
      <c r="C51" s="46" t="str">
        <f t="shared" ca="1" si="10"/>
        <v/>
      </c>
      <c r="D51" s="46" t="str">
        <f t="shared" ca="1" si="10"/>
        <v/>
      </c>
      <c r="E51" s="45" t="str">
        <f t="shared" ca="1" si="10"/>
        <v/>
      </c>
      <c r="F51" s="46" t="str">
        <f t="shared" ca="1" si="10"/>
        <v/>
      </c>
      <c r="G51" s="46" t="str">
        <f t="shared" ca="1" si="10"/>
        <v/>
      </c>
      <c r="H51" s="46" t="str">
        <f t="shared" ca="1" si="10"/>
        <v/>
      </c>
      <c r="I51" s="46" t="str">
        <f t="shared" ca="1" si="10"/>
        <v/>
      </c>
      <c r="J51" s="47" t="str">
        <f t="shared" ca="1" si="10"/>
        <v/>
      </c>
      <c r="K51" s="47" t="str">
        <f t="shared" ca="1" si="10"/>
        <v/>
      </c>
      <c r="L51" s="47" t="str">
        <f t="shared" ca="1" si="11"/>
        <v/>
      </c>
      <c r="M51" s="47" t="str">
        <f t="shared" ca="1" si="11"/>
        <v/>
      </c>
      <c r="N51" s="47" t="str">
        <f t="shared" ca="1" si="11"/>
        <v/>
      </c>
      <c r="O51" s="47" t="str">
        <f t="shared" ca="1" si="11"/>
        <v/>
      </c>
      <c r="P51" s="47" t="str">
        <f t="shared" ca="1" si="11"/>
        <v/>
      </c>
      <c r="Q51" s="47" t="str">
        <f t="shared" ca="1" si="11"/>
        <v/>
      </c>
      <c r="R51" s="47" t="str">
        <f t="shared" ca="1" si="11"/>
        <v/>
      </c>
      <c r="S51" s="47" t="str">
        <f t="shared" ca="1" si="11"/>
        <v/>
      </c>
      <c r="T51" s="47" t="str">
        <f t="shared" ca="1" si="11"/>
        <v/>
      </c>
      <c r="U51" s="47" t="str">
        <f t="shared" ca="1" si="11"/>
        <v/>
      </c>
      <c r="V51" s="47" t="str">
        <f t="shared" ca="1" si="12"/>
        <v/>
      </c>
      <c r="W51" s="47" t="str">
        <f t="shared" ca="1" si="12"/>
        <v/>
      </c>
      <c r="X51" s="47" t="str">
        <f t="shared" ca="1" si="12"/>
        <v/>
      </c>
      <c r="Y51" s="47" t="str">
        <f t="shared" ca="1" si="12"/>
        <v/>
      </c>
      <c r="Z51" s="47" t="str">
        <f t="shared" ca="1" si="12"/>
        <v/>
      </c>
      <c r="AA51" s="47" t="str">
        <f t="shared" ca="1" si="12"/>
        <v/>
      </c>
      <c r="AB51" s="47" t="str">
        <f t="shared" ca="1" si="12"/>
        <v/>
      </c>
      <c r="AC51" s="47" t="str">
        <f t="shared" ca="1" si="12"/>
        <v/>
      </c>
    </row>
    <row r="52" spans="1:29" x14ac:dyDescent="0.3">
      <c r="A52" s="5">
        <f t="shared" si="3"/>
        <v>42</v>
      </c>
      <c r="B52" s="45" t="str">
        <f t="shared" ref="B52:K61" ca="1" si="13">IFERROR(IF(INDIRECT("raw!R"&amp;$A52&amp;"C"&amp;B$10,FALSE)&lt;&gt;"",INDIRECT("raw!R"&amp;$A52&amp;"C"&amp;B$10,FALSE),""),"")</f>
        <v/>
      </c>
      <c r="C52" s="46" t="str">
        <f t="shared" ca="1" si="13"/>
        <v/>
      </c>
      <c r="D52" s="46" t="str">
        <f t="shared" ca="1" si="13"/>
        <v/>
      </c>
      <c r="E52" s="45" t="str">
        <f t="shared" ca="1" si="13"/>
        <v/>
      </c>
      <c r="F52" s="46" t="str">
        <f t="shared" ca="1" si="13"/>
        <v/>
      </c>
      <c r="G52" s="46" t="str">
        <f t="shared" ca="1" si="13"/>
        <v/>
      </c>
      <c r="H52" s="46" t="str">
        <f t="shared" ca="1" si="13"/>
        <v/>
      </c>
      <c r="I52" s="46" t="str">
        <f t="shared" ca="1" si="13"/>
        <v/>
      </c>
      <c r="J52" s="47" t="str">
        <f t="shared" ca="1" si="13"/>
        <v/>
      </c>
      <c r="K52" s="47" t="str">
        <f t="shared" ca="1" si="13"/>
        <v/>
      </c>
      <c r="L52" s="47" t="str">
        <f t="shared" ref="L52:U61" ca="1" si="14">IFERROR(IF(INDIRECT("raw!R"&amp;$A52&amp;"C"&amp;L$10,FALSE)&lt;&gt;"",INDIRECT("raw!R"&amp;$A52&amp;"C"&amp;L$10,FALSE),""),"")</f>
        <v/>
      </c>
      <c r="M52" s="47" t="str">
        <f t="shared" ca="1" si="14"/>
        <v/>
      </c>
      <c r="N52" s="47" t="str">
        <f t="shared" ca="1" si="14"/>
        <v/>
      </c>
      <c r="O52" s="47" t="str">
        <f t="shared" ca="1" si="14"/>
        <v/>
      </c>
      <c r="P52" s="47" t="str">
        <f t="shared" ca="1" si="14"/>
        <v/>
      </c>
      <c r="Q52" s="47" t="str">
        <f t="shared" ca="1" si="14"/>
        <v/>
      </c>
      <c r="R52" s="47" t="str">
        <f t="shared" ca="1" si="14"/>
        <v/>
      </c>
      <c r="S52" s="47" t="str">
        <f t="shared" ca="1" si="14"/>
        <v/>
      </c>
      <c r="T52" s="47" t="str">
        <f t="shared" ca="1" si="14"/>
        <v/>
      </c>
      <c r="U52" s="47" t="str">
        <f t="shared" ca="1" si="14"/>
        <v/>
      </c>
      <c r="V52" s="47" t="str">
        <f t="shared" ref="V52:AC61" ca="1" si="15">IFERROR(IF(INDIRECT("raw!R"&amp;$A52&amp;"C"&amp;V$10,FALSE)&lt;&gt;"",INDIRECT("raw!R"&amp;$A52&amp;"C"&amp;V$10,FALSE),""),"")</f>
        <v/>
      </c>
      <c r="W52" s="47" t="str">
        <f t="shared" ca="1" si="15"/>
        <v/>
      </c>
      <c r="X52" s="47" t="str">
        <f t="shared" ca="1" si="15"/>
        <v/>
      </c>
      <c r="Y52" s="47" t="str">
        <f t="shared" ca="1" si="15"/>
        <v/>
      </c>
      <c r="Z52" s="47" t="str">
        <f t="shared" ca="1" si="15"/>
        <v/>
      </c>
      <c r="AA52" s="47" t="str">
        <f t="shared" ca="1" si="15"/>
        <v/>
      </c>
      <c r="AB52" s="47" t="str">
        <f t="shared" ca="1" si="15"/>
        <v/>
      </c>
      <c r="AC52" s="47" t="str">
        <f t="shared" ca="1" si="15"/>
        <v/>
      </c>
    </row>
    <row r="53" spans="1:29" x14ac:dyDescent="0.3">
      <c r="A53" s="5">
        <f t="shared" si="3"/>
        <v>43</v>
      </c>
      <c r="B53" s="45" t="str">
        <f t="shared" ca="1" si="13"/>
        <v/>
      </c>
      <c r="C53" s="46" t="str">
        <f t="shared" ca="1" si="13"/>
        <v/>
      </c>
      <c r="D53" s="46" t="str">
        <f t="shared" ca="1" si="13"/>
        <v/>
      </c>
      <c r="E53" s="45" t="str">
        <f t="shared" ca="1" si="13"/>
        <v/>
      </c>
      <c r="F53" s="46" t="str">
        <f t="shared" ca="1" si="13"/>
        <v/>
      </c>
      <c r="G53" s="46" t="str">
        <f t="shared" ca="1" si="13"/>
        <v/>
      </c>
      <c r="H53" s="46" t="str">
        <f t="shared" ca="1" si="13"/>
        <v/>
      </c>
      <c r="I53" s="46" t="str">
        <f t="shared" ca="1" si="13"/>
        <v/>
      </c>
      <c r="J53" s="47" t="str">
        <f t="shared" ca="1" si="13"/>
        <v/>
      </c>
      <c r="K53" s="47" t="str">
        <f t="shared" ca="1" si="13"/>
        <v/>
      </c>
      <c r="L53" s="47" t="str">
        <f t="shared" ca="1" si="14"/>
        <v/>
      </c>
      <c r="M53" s="47" t="str">
        <f t="shared" ca="1" si="14"/>
        <v/>
      </c>
      <c r="N53" s="47" t="str">
        <f t="shared" ca="1" si="14"/>
        <v/>
      </c>
      <c r="O53" s="47" t="str">
        <f t="shared" ca="1" si="14"/>
        <v/>
      </c>
      <c r="P53" s="47" t="str">
        <f t="shared" ca="1" si="14"/>
        <v/>
      </c>
      <c r="Q53" s="47" t="str">
        <f t="shared" ca="1" si="14"/>
        <v/>
      </c>
      <c r="R53" s="47" t="str">
        <f t="shared" ca="1" si="14"/>
        <v/>
      </c>
      <c r="S53" s="47" t="str">
        <f t="shared" ca="1" si="14"/>
        <v/>
      </c>
      <c r="T53" s="47" t="str">
        <f t="shared" ca="1" si="14"/>
        <v/>
      </c>
      <c r="U53" s="47" t="str">
        <f t="shared" ca="1" si="14"/>
        <v/>
      </c>
      <c r="V53" s="47" t="str">
        <f t="shared" ca="1" si="15"/>
        <v/>
      </c>
      <c r="W53" s="47" t="str">
        <f t="shared" ca="1" si="15"/>
        <v/>
      </c>
      <c r="X53" s="47" t="str">
        <f t="shared" ca="1" si="15"/>
        <v/>
      </c>
      <c r="Y53" s="47" t="str">
        <f t="shared" ca="1" si="15"/>
        <v/>
      </c>
      <c r="Z53" s="47" t="str">
        <f t="shared" ca="1" si="15"/>
        <v/>
      </c>
      <c r="AA53" s="47" t="str">
        <f t="shared" ca="1" si="15"/>
        <v/>
      </c>
      <c r="AB53" s="47" t="str">
        <f t="shared" ca="1" si="15"/>
        <v/>
      </c>
      <c r="AC53" s="47" t="str">
        <f t="shared" ca="1" si="15"/>
        <v/>
      </c>
    </row>
    <row r="54" spans="1:29" x14ac:dyDescent="0.3">
      <c r="A54" s="5">
        <f t="shared" si="3"/>
        <v>44</v>
      </c>
      <c r="B54" s="45" t="str">
        <f t="shared" ca="1" si="13"/>
        <v/>
      </c>
      <c r="C54" s="46" t="str">
        <f t="shared" ca="1" si="13"/>
        <v/>
      </c>
      <c r="D54" s="46" t="str">
        <f t="shared" ca="1" si="13"/>
        <v/>
      </c>
      <c r="E54" s="45" t="str">
        <f t="shared" ca="1" si="13"/>
        <v/>
      </c>
      <c r="F54" s="46" t="str">
        <f t="shared" ca="1" si="13"/>
        <v/>
      </c>
      <c r="G54" s="46" t="str">
        <f t="shared" ca="1" si="13"/>
        <v/>
      </c>
      <c r="H54" s="46" t="str">
        <f t="shared" ca="1" si="13"/>
        <v/>
      </c>
      <c r="I54" s="46" t="str">
        <f t="shared" ca="1" si="13"/>
        <v/>
      </c>
      <c r="J54" s="47" t="str">
        <f t="shared" ca="1" si="13"/>
        <v/>
      </c>
      <c r="K54" s="47" t="str">
        <f t="shared" ca="1" si="13"/>
        <v/>
      </c>
      <c r="L54" s="47" t="str">
        <f t="shared" ca="1" si="14"/>
        <v/>
      </c>
      <c r="M54" s="47" t="str">
        <f t="shared" ca="1" si="14"/>
        <v/>
      </c>
      <c r="N54" s="47" t="str">
        <f t="shared" ca="1" si="14"/>
        <v/>
      </c>
      <c r="O54" s="47" t="str">
        <f t="shared" ca="1" si="14"/>
        <v/>
      </c>
      <c r="P54" s="47" t="str">
        <f t="shared" ca="1" si="14"/>
        <v/>
      </c>
      <c r="Q54" s="47" t="str">
        <f t="shared" ca="1" si="14"/>
        <v/>
      </c>
      <c r="R54" s="47" t="str">
        <f t="shared" ca="1" si="14"/>
        <v/>
      </c>
      <c r="S54" s="47" t="str">
        <f t="shared" ca="1" si="14"/>
        <v/>
      </c>
      <c r="T54" s="47" t="str">
        <f t="shared" ca="1" si="14"/>
        <v/>
      </c>
      <c r="U54" s="47" t="str">
        <f t="shared" ca="1" si="14"/>
        <v/>
      </c>
      <c r="V54" s="47" t="str">
        <f t="shared" ca="1" si="15"/>
        <v/>
      </c>
      <c r="W54" s="47" t="str">
        <f t="shared" ca="1" si="15"/>
        <v/>
      </c>
      <c r="X54" s="47" t="str">
        <f t="shared" ca="1" si="15"/>
        <v/>
      </c>
      <c r="Y54" s="47" t="str">
        <f t="shared" ca="1" si="15"/>
        <v/>
      </c>
      <c r="Z54" s="47" t="str">
        <f t="shared" ca="1" si="15"/>
        <v/>
      </c>
      <c r="AA54" s="47" t="str">
        <f t="shared" ca="1" si="15"/>
        <v/>
      </c>
      <c r="AB54" s="47" t="str">
        <f t="shared" ca="1" si="15"/>
        <v/>
      </c>
      <c r="AC54" s="47" t="str">
        <f t="shared" ca="1" si="15"/>
        <v/>
      </c>
    </row>
    <row r="55" spans="1:29" x14ac:dyDescent="0.3">
      <c r="A55" s="5">
        <f t="shared" si="3"/>
        <v>45</v>
      </c>
      <c r="B55" s="45" t="str">
        <f t="shared" ca="1" si="13"/>
        <v/>
      </c>
      <c r="C55" s="46" t="str">
        <f t="shared" ca="1" si="13"/>
        <v/>
      </c>
      <c r="D55" s="46" t="str">
        <f t="shared" ca="1" si="13"/>
        <v/>
      </c>
      <c r="E55" s="45" t="str">
        <f t="shared" ca="1" si="13"/>
        <v/>
      </c>
      <c r="F55" s="46" t="str">
        <f t="shared" ca="1" si="13"/>
        <v/>
      </c>
      <c r="G55" s="46" t="str">
        <f t="shared" ca="1" si="13"/>
        <v/>
      </c>
      <c r="H55" s="46" t="str">
        <f t="shared" ca="1" si="13"/>
        <v/>
      </c>
      <c r="I55" s="46" t="str">
        <f t="shared" ca="1" si="13"/>
        <v/>
      </c>
      <c r="J55" s="47" t="str">
        <f t="shared" ca="1" si="13"/>
        <v/>
      </c>
      <c r="K55" s="47" t="str">
        <f t="shared" ca="1" si="13"/>
        <v/>
      </c>
      <c r="L55" s="47" t="str">
        <f t="shared" ca="1" si="14"/>
        <v/>
      </c>
      <c r="M55" s="47" t="str">
        <f t="shared" ca="1" si="14"/>
        <v/>
      </c>
      <c r="N55" s="47" t="str">
        <f t="shared" ca="1" si="14"/>
        <v/>
      </c>
      <c r="O55" s="47" t="str">
        <f t="shared" ca="1" si="14"/>
        <v/>
      </c>
      <c r="P55" s="47" t="str">
        <f t="shared" ca="1" si="14"/>
        <v/>
      </c>
      <c r="Q55" s="47" t="str">
        <f t="shared" ca="1" si="14"/>
        <v/>
      </c>
      <c r="R55" s="47" t="str">
        <f t="shared" ca="1" si="14"/>
        <v/>
      </c>
      <c r="S55" s="47" t="str">
        <f t="shared" ca="1" si="14"/>
        <v/>
      </c>
      <c r="T55" s="47" t="str">
        <f t="shared" ca="1" si="14"/>
        <v/>
      </c>
      <c r="U55" s="47" t="str">
        <f t="shared" ca="1" si="14"/>
        <v/>
      </c>
      <c r="V55" s="47" t="str">
        <f t="shared" ca="1" si="15"/>
        <v/>
      </c>
      <c r="W55" s="47" t="str">
        <f t="shared" ca="1" si="15"/>
        <v/>
      </c>
      <c r="X55" s="47" t="str">
        <f t="shared" ca="1" si="15"/>
        <v/>
      </c>
      <c r="Y55" s="47" t="str">
        <f t="shared" ca="1" si="15"/>
        <v/>
      </c>
      <c r="Z55" s="47" t="str">
        <f t="shared" ca="1" si="15"/>
        <v/>
      </c>
      <c r="AA55" s="47" t="str">
        <f t="shared" ca="1" si="15"/>
        <v/>
      </c>
      <c r="AB55" s="47" t="str">
        <f t="shared" ca="1" si="15"/>
        <v/>
      </c>
      <c r="AC55" s="47" t="str">
        <f t="shared" ca="1" si="15"/>
        <v/>
      </c>
    </row>
    <row r="56" spans="1:29" x14ac:dyDescent="0.3">
      <c r="A56" s="5">
        <f t="shared" si="3"/>
        <v>46</v>
      </c>
      <c r="B56" s="45" t="str">
        <f t="shared" ca="1" si="13"/>
        <v/>
      </c>
      <c r="C56" s="46" t="str">
        <f t="shared" ca="1" si="13"/>
        <v/>
      </c>
      <c r="D56" s="46" t="str">
        <f t="shared" ca="1" si="13"/>
        <v/>
      </c>
      <c r="E56" s="45" t="str">
        <f t="shared" ca="1" si="13"/>
        <v/>
      </c>
      <c r="F56" s="46" t="str">
        <f t="shared" ca="1" si="13"/>
        <v/>
      </c>
      <c r="G56" s="46" t="str">
        <f t="shared" ca="1" si="13"/>
        <v/>
      </c>
      <c r="H56" s="46" t="str">
        <f t="shared" ca="1" si="13"/>
        <v/>
      </c>
      <c r="I56" s="46" t="str">
        <f t="shared" ca="1" si="13"/>
        <v/>
      </c>
      <c r="J56" s="47" t="str">
        <f t="shared" ca="1" si="13"/>
        <v/>
      </c>
      <c r="K56" s="47" t="str">
        <f t="shared" ca="1" si="13"/>
        <v/>
      </c>
      <c r="L56" s="47" t="str">
        <f t="shared" ca="1" si="14"/>
        <v/>
      </c>
      <c r="M56" s="47" t="str">
        <f t="shared" ca="1" si="14"/>
        <v/>
      </c>
      <c r="N56" s="47" t="str">
        <f t="shared" ca="1" si="14"/>
        <v/>
      </c>
      <c r="O56" s="47" t="str">
        <f t="shared" ca="1" si="14"/>
        <v/>
      </c>
      <c r="P56" s="47" t="str">
        <f t="shared" ca="1" si="14"/>
        <v/>
      </c>
      <c r="Q56" s="47" t="str">
        <f t="shared" ca="1" si="14"/>
        <v/>
      </c>
      <c r="R56" s="47" t="str">
        <f t="shared" ca="1" si="14"/>
        <v/>
      </c>
      <c r="S56" s="47" t="str">
        <f t="shared" ca="1" si="14"/>
        <v/>
      </c>
      <c r="T56" s="47" t="str">
        <f t="shared" ca="1" si="14"/>
        <v/>
      </c>
      <c r="U56" s="47" t="str">
        <f t="shared" ca="1" si="14"/>
        <v/>
      </c>
      <c r="V56" s="47" t="str">
        <f t="shared" ca="1" si="15"/>
        <v/>
      </c>
      <c r="W56" s="47" t="str">
        <f t="shared" ca="1" si="15"/>
        <v/>
      </c>
      <c r="X56" s="47" t="str">
        <f t="shared" ca="1" si="15"/>
        <v/>
      </c>
      <c r="Y56" s="47" t="str">
        <f t="shared" ca="1" si="15"/>
        <v/>
      </c>
      <c r="Z56" s="47" t="str">
        <f t="shared" ca="1" si="15"/>
        <v/>
      </c>
      <c r="AA56" s="47" t="str">
        <f t="shared" ca="1" si="15"/>
        <v/>
      </c>
      <c r="AB56" s="47" t="str">
        <f t="shared" ca="1" si="15"/>
        <v/>
      </c>
      <c r="AC56" s="47" t="str">
        <f t="shared" ca="1" si="15"/>
        <v/>
      </c>
    </row>
    <row r="57" spans="1:29" x14ac:dyDescent="0.3">
      <c r="A57" s="5">
        <f t="shared" si="3"/>
        <v>47</v>
      </c>
      <c r="B57" s="45" t="str">
        <f t="shared" ca="1" si="13"/>
        <v/>
      </c>
      <c r="C57" s="46" t="str">
        <f t="shared" ca="1" si="13"/>
        <v/>
      </c>
      <c r="D57" s="46" t="str">
        <f t="shared" ca="1" si="13"/>
        <v/>
      </c>
      <c r="E57" s="45" t="str">
        <f t="shared" ca="1" si="13"/>
        <v/>
      </c>
      <c r="F57" s="46" t="str">
        <f t="shared" ca="1" si="13"/>
        <v/>
      </c>
      <c r="G57" s="46" t="str">
        <f t="shared" ca="1" si="13"/>
        <v/>
      </c>
      <c r="H57" s="46" t="str">
        <f t="shared" ca="1" si="13"/>
        <v/>
      </c>
      <c r="I57" s="46" t="str">
        <f t="shared" ca="1" si="13"/>
        <v/>
      </c>
      <c r="J57" s="47" t="str">
        <f t="shared" ca="1" si="13"/>
        <v/>
      </c>
      <c r="K57" s="47" t="str">
        <f t="shared" ca="1" si="13"/>
        <v/>
      </c>
      <c r="L57" s="47" t="str">
        <f t="shared" ca="1" si="14"/>
        <v/>
      </c>
      <c r="M57" s="47" t="str">
        <f t="shared" ca="1" si="14"/>
        <v/>
      </c>
      <c r="N57" s="47" t="str">
        <f t="shared" ca="1" si="14"/>
        <v/>
      </c>
      <c r="O57" s="47" t="str">
        <f t="shared" ca="1" si="14"/>
        <v/>
      </c>
      <c r="P57" s="47" t="str">
        <f t="shared" ca="1" si="14"/>
        <v/>
      </c>
      <c r="Q57" s="47" t="str">
        <f t="shared" ca="1" si="14"/>
        <v/>
      </c>
      <c r="R57" s="47" t="str">
        <f t="shared" ca="1" si="14"/>
        <v/>
      </c>
      <c r="S57" s="47" t="str">
        <f t="shared" ca="1" si="14"/>
        <v/>
      </c>
      <c r="T57" s="47" t="str">
        <f t="shared" ca="1" si="14"/>
        <v/>
      </c>
      <c r="U57" s="47" t="str">
        <f t="shared" ca="1" si="14"/>
        <v/>
      </c>
      <c r="V57" s="47" t="str">
        <f t="shared" ca="1" si="15"/>
        <v/>
      </c>
      <c r="W57" s="47" t="str">
        <f t="shared" ca="1" si="15"/>
        <v/>
      </c>
      <c r="X57" s="47" t="str">
        <f t="shared" ca="1" si="15"/>
        <v/>
      </c>
      <c r="Y57" s="47" t="str">
        <f t="shared" ca="1" si="15"/>
        <v/>
      </c>
      <c r="Z57" s="47" t="str">
        <f t="shared" ca="1" si="15"/>
        <v/>
      </c>
      <c r="AA57" s="47" t="str">
        <f t="shared" ca="1" si="15"/>
        <v/>
      </c>
      <c r="AB57" s="47" t="str">
        <f t="shared" ca="1" si="15"/>
        <v/>
      </c>
      <c r="AC57" s="47" t="str">
        <f t="shared" ca="1" si="15"/>
        <v/>
      </c>
    </row>
    <row r="58" spans="1:29" x14ac:dyDescent="0.3">
      <c r="A58" s="5">
        <f t="shared" si="3"/>
        <v>48</v>
      </c>
      <c r="B58" s="45" t="str">
        <f t="shared" ca="1" si="13"/>
        <v/>
      </c>
      <c r="C58" s="46" t="str">
        <f t="shared" ca="1" si="13"/>
        <v/>
      </c>
      <c r="D58" s="46" t="str">
        <f t="shared" ca="1" si="13"/>
        <v/>
      </c>
      <c r="E58" s="45" t="str">
        <f t="shared" ca="1" si="13"/>
        <v/>
      </c>
      <c r="F58" s="46" t="str">
        <f t="shared" ca="1" si="13"/>
        <v/>
      </c>
      <c r="G58" s="46" t="str">
        <f t="shared" ca="1" si="13"/>
        <v/>
      </c>
      <c r="H58" s="46" t="str">
        <f t="shared" ca="1" si="13"/>
        <v/>
      </c>
      <c r="I58" s="46" t="str">
        <f t="shared" ca="1" si="13"/>
        <v/>
      </c>
      <c r="J58" s="47" t="str">
        <f t="shared" ca="1" si="13"/>
        <v/>
      </c>
      <c r="K58" s="47" t="str">
        <f t="shared" ca="1" si="13"/>
        <v/>
      </c>
      <c r="L58" s="47" t="str">
        <f t="shared" ca="1" si="14"/>
        <v/>
      </c>
      <c r="M58" s="47" t="str">
        <f t="shared" ca="1" si="14"/>
        <v/>
      </c>
      <c r="N58" s="47" t="str">
        <f t="shared" ca="1" si="14"/>
        <v/>
      </c>
      <c r="O58" s="47" t="str">
        <f t="shared" ca="1" si="14"/>
        <v/>
      </c>
      <c r="P58" s="47" t="str">
        <f t="shared" ca="1" si="14"/>
        <v/>
      </c>
      <c r="Q58" s="47" t="str">
        <f t="shared" ca="1" si="14"/>
        <v/>
      </c>
      <c r="R58" s="47" t="str">
        <f t="shared" ca="1" si="14"/>
        <v/>
      </c>
      <c r="S58" s="47" t="str">
        <f t="shared" ca="1" si="14"/>
        <v/>
      </c>
      <c r="T58" s="47" t="str">
        <f t="shared" ca="1" si="14"/>
        <v/>
      </c>
      <c r="U58" s="47" t="str">
        <f t="shared" ca="1" si="14"/>
        <v/>
      </c>
      <c r="V58" s="47" t="str">
        <f t="shared" ca="1" si="15"/>
        <v/>
      </c>
      <c r="W58" s="47" t="str">
        <f t="shared" ca="1" si="15"/>
        <v/>
      </c>
      <c r="X58" s="47" t="str">
        <f t="shared" ca="1" si="15"/>
        <v/>
      </c>
      <c r="Y58" s="47" t="str">
        <f t="shared" ca="1" si="15"/>
        <v/>
      </c>
      <c r="Z58" s="47" t="str">
        <f t="shared" ca="1" si="15"/>
        <v/>
      </c>
      <c r="AA58" s="47" t="str">
        <f t="shared" ca="1" si="15"/>
        <v/>
      </c>
      <c r="AB58" s="47" t="str">
        <f t="shared" ca="1" si="15"/>
        <v/>
      </c>
      <c r="AC58" s="47" t="str">
        <f t="shared" ca="1" si="15"/>
        <v/>
      </c>
    </row>
    <row r="59" spans="1:29" x14ac:dyDescent="0.3">
      <c r="A59" s="5">
        <f t="shared" si="3"/>
        <v>49</v>
      </c>
      <c r="B59" s="45" t="str">
        <f t="shared" ca="1" si="13"/>
        <v/>
      </c>
      <c r="C59" s="46" t="str">
        <f t="shared" ca="1" si="13"/>
        <v/>
      </c>
      <c r="D59" s="46" t="str">
        <f t="shared" ca="1" si="13"/>
        <v/>
      </c>
      <c r="E59" s="45" t="str">
        <f t="shared" ca="1" si="13"/>
        <v/>
      </c>
      <c r="F59" s="46" t="str">
        <f t="shared" ca="1" si="13"/>
        <v/>
      </c>
      <c r="G59" s="46" t="str">
        <f t="shared" ca="1" si="13"/>
        <v/>
      </c>
      <c r="H59" s="46" t="str">
        <f t="shared" ca="1" si="13"/>
        <v/>
      </c>
      <c r="I59" s="46" t="str">
        <f t="shared" ca="1" si="13"/>
        <v/>
      </c>
      <c r="J59" s="47" t="str">
        <f t="shared" ca="1" si="13"/>
        <v/>
      </c>
      <c r="K59" s="47" t="str">
        <f t="shared" ca="1" si="13"/>
        <v/>
      </c>
      <c r="L59" s="47" t="str">
        <f t="shared" ca="1" si="14"/>
        <v/>
      </c>
      <c r="M59" s="47" t="str">
        <f t="shared" ca="1" si="14"/>
        <v/>
      </c>
      <c r="N59" s="47" t="str">
        <f t="shared" ca="1" si="14"/>
        <v/>
      </c>
      <c r="O59" s="47" t="str">
        <f t="shared" ca="1" si="14"/>
        <v/>
      </c>
      <c r="P59" s="47" t="str">
        <f t="shared" ca="1" si="14"/>
        <v/>
      </c>
      <c r="Q59" s="47" t="str">
        <f t="shared" ca="1" si="14"/>
        <v/>
      </c>
      <c r="R59" s="47" t="str">
        <f t="shared" ca="1" si="14"/>
        <v/>
      </c>
      <c r="S59" s="47" t="str">
        <f t="shared" ca="1" si="14"/>
        <v/>
      </c>
      <c r="T59" s="47" t="str">
        <f t="shared" ca="1" si="14"/>
        <v/>
      </c>
      <c r="U59" s="47" t="str">
        <f t="shared" ca="1" si="14"/>
        <v/>
      </c>
      <c r="V59" s="47" t="str">
        <f t="shared" ca="1" si="15"/>
        <v/>
      </c>
      <c r="W59" s="47" t="str">
        <f t="shared" ca="1" si="15"/>
        <v/>
      </c>
      <c r="X59" s="47" t="str">
        <f t="shared" ca="1" si="15"/>
        <v/>
      </c>
      <c r="Y59" s="47" t="str">
        <f t="shared" ca="1" si="15"/>
        <v/>
      </c>
      <c r="Z59" s="47" t="str">
        <f t="shared" ca="1" si="15"/>
        <v/>
      </c>
      <c r="AA59" s="47" t="str">
        <f t="shared" ca="1" si="15"/>
        <v/>
      </c>
      <c r="AB59" s="47" t="str">
        <f t="shared" ca="1" si="15"/>
        <v/>
      </c>
      <c r="AC59" s="47" t="str">
        <f t="shared" ca="1" si="15"/>
        <v/>
      </c>
    </row>
    <row r="60" spans="1:29" x14ac:dyDescent="0.3">
      <c r="A60" s="5">
        <f t="shared" si="3"/>
        <v>50</v>
      </c>
      <c r="B60" s="45" t="str">
        <f t="shared" ca="1" si="13"/>
        <v/>
      </c>
      <c r="C60" s="46" t="str">
        <f t="shared" ca="1" si="13"/>
        <v/>
      </c>
      <c r="D60" s="46" t="str">
        <f t="shared" ca="1" si="13"/>
        <v/>
      </c>
      <c r="E60" s="45" t="str">
        <f t="shared" ca="1" si="13"/>
        <v/>
      </c>
      <c r="F60" s="46" t="str">
        <f t="shared" ca="1" si="13"/>
        <v/>
      </c>
      <c r="G60" s="46" t="str">
        <f t="shared" ca="1" si="13"/>
        <v/>
      </c>
      <c r="H60" s="46" t="str">
        <f t="shared" ca="1" si="13"/>
        <v/>
      </c>
      <c r="I60" s="46" t="str">
        <f t="shared" ca="1" si="13"/>
        <v/>
      </c>
      <c r="J60" s="47" t="str">
        <f t="shared" ca="1" si="13"/>
        <v/>
      </c>
      <c r="K60" s="47" t="str">
        <f t="shared" ca="1" si="13"/>
        <v/>
      </c>
      <c r="L60" s="47" t="str">
        <f t="shared" ca="1" si="14"/>
        <v/>
      </c>
      <c r="M60" s="47" t="str">
        <f t="shared" ca="1" si="14"/>
        <v/>
      </c>
      <c r="N60" s="47" t="str">
        <f t="shared" ca="1" si="14"/>
        <v/>
      </c>
      <c r="O60" s="47" t="str">
        <f t="shared" ca="1" si="14"/>
        <v/>
      </c>
      <c r="P60" s="47" t="str">
        <f t="shared" ca="1" si="14"/>
        <v/>
      </c>
      <c r="Q60" s="47" t="str">
        <f t="shared" ca="1" si="14"/>
        <v/>
      </c>
      <c r="R60" s="47" t="str">
        <f t="shared" ca="1" si="14"/>
        <v/>
      </c>
      <c r="S60" s="47" t="str">
        <f t="shared" ca="1" si="14"/>
        <v/>
      </c>
      <c r="T60" s="47" t="str">
        <f t="shared" ca="1" si="14"/>
        <v/>
      </c>
      <c r="U60" s="47" t="str">
        <f t="shared" ca="1" si="14"/>
        <v/>
      </c>
      <c r="V60" s="47" t="str">
        <f t="shared" ca="1" si="15"/>
        <v/>
      </c>
      <c r="W60" s="47" t="str">
        <f t="shared" ca="1" si="15"/>
        <v/>
      </c>
      <c r="X60" s="47" t="str">
        <f t="shared" ca="1" si="15"/>
        <v/>
      </c>
      <c r="Y60" s="47" t="str">
        <f t="shared" ca="1" si="15"/>
        <v/>
      </c>
      <c r="Z60" s="47" t="str">
        <f t="shared" ca="1" si="15"/>
        <v/>
      </c>
      <c r="AA60" s="47" t="str">
        <f t="shared" ca="1" si="15"/>
        <v/>
      </c>
      <c r="AB60" s="47" t="str">
        <f t="shared" ca="1" si="15"/>
        <v/>
      </c>
      <c r="AC60" s="47" t="str">
        <f t="shared" ca="1" si="15"/>
        <v/>
      </c>
    </row>
    <row r="61" spans="1:29" x14ac:dyDescent="0.3">
      <c r="A61" s="5">
        <f t="shared" si="3"/>
        <v>51</v>
      </c>
      <c r="B61" s="45" t="str">
        <f t="shared" ca="1" si="13"/>
        <v/>
      </c>
      <c r="C61" s="46" t="str">
        <f t="shared" ca="1" si="13"/>
        <v/>
      </c>
      <c r="D61" s="46" t="str">
        <f t="shared" ca="1" si="13"/>
        <v/>
      </c>
      <c r="E61" s="45" t="str">
        <f t="shared" ca="1" si="13"/>
        <v/>
      </c>
      <c r="F61" s="46" t="str">
        <f t="shared" ca="1" si="13"/>
        <v/>
      </c>
      <c r="G61" s="46" t="str">
        <f t="shared" ca="1" si="13"/>
        <v/>
      </c>
      <c r="H61" s="46" t="str">
        <f t="shared" ca="1" si="13"/>
        <v/>
      </c>
      <c r="I61" s="46" t="str">
        <f t="shared" ca="1" si="13"/>
        <v/>
      </c>
      <c r="J61" s="47" t="str">
        <f t="shared" ca="1" si="13"/>
        <v/>
      </c>
      <c r="K61" s="47" t="str">
        <f t="shared" ca="1" si="13"/>
        <v/>
      </c>
      <c r="L61" s="47" t="str">
        <f t="shared" ca="1" si="14"/>
        <v/>
      </c>
      <c r="M61" s="47" t="str">
        <f t="shared" ca="1" si="14"/>
        <v/>
      </c>
      <c r="N61" s="47" t="str">
        <f t="shared" ca="1" si="14"/>
        <v/>
      </c>
      <c r="O61" s="47" t="str">
        <f t="shared" ca="1" si="14"/>
        <v/>
      </c>
      <c r="P61" s="47" t="str">
        <f t="shared" ca="1" si="14"/>
        <v/>
      </c>
      <c r="Q61" s="47" t="str">
        <f t="shared" ca="1" si="14"/>
        <v/>
      </c>
      <c r="R61" s="47" t="str">
        <f t="shared" ca="1" si="14"/>
        <v/>
      </c>
      <c r="S61" s="47" t="str">
        <f t="shared" ca="1" si="14"/>
        <v/>
      </c>
      <c r="T61" s="47" t="str">
        <f t="shared" ca="1" si="14"/>
        <v/>
      </c>
      <c r="U61" s="47" t="str">
        <f t="shared" ca="1" si="14"/>
        <v/>
      </c>
      <c r="V61" s="47" t="str">
        <f t="shared" ca="1" si="15"/>
        <v/>
      </c>
      <c r="W61" s="47" t="str">
        <f t="shared" ca="1" si="15"/>
        <v/>
      </c>
      <c r="X61" s="47" t="str">
        <f t="shared" ca="1" si="15"/>
        <v/>
      </c>
      <c r="Y61" s="47" t="str">
        <f t="shared" ca="1" si="15"/>
        <v/>
      </c>
      <c r="Z61" s="47" t="str">
        <f t="shared" ca="1" si="15"/>
        <v/>
      </c>
      <c r="AA61" s="47" t="str">
        <f t="shared" ca="1" si="15"/>
        <v/>
      </c>
      <c r="AB61" s="47" t="str">
        <f t="shared" ca="1" si="15"/>
        <v/>
      </c>
      <c r="AC61" s="47" t="str">
        <f t="shared" ca="1" si="15"/>
        <v/>
      </c>
    </row>
    <row r="62" spans="1:29" x14ac:dyDescent="0.3">
      <c r="A62" s="5">
        <f t="shared" si="3"/>
        <v>52</v>
      </c>
      <c r="B62" s="45" t="str">
        <f t="shared" ref="B62:K71" ca="1" si="16">IFERROR(IF(INDIRECT("raw!R"&amp;$A62&amp;"C"&amp;B$10,FALSE)&lt;&gt;"",INDIRECT("raw!R"&amp;$A62&amp;"C"&amp;B$10,FALSE),""),"")</f>
        <v/>
      </c>
      <c r="C62" s="46" t="str">
        <f t="shared" ca="1" si="16"/>
        <v/>
      </c>
      <c r="D62" s="46" t="str">
        <f t="shared" ca="1" si="16"/>
        <v/>
      </c>
      <c r="E62" s="45" t="str">
        <f t="shared" ca="1" si="16"/>
        <v/>
      </c>
      <c r="F62" s="46" t="str">
        <f t="shared" ca="1" si="16"/>
        <v/>
      </c>
      <c r="G62" s="46" t="str">
        <f t="shared" ca="1" si="16"/>
        <v/>
      </c>
      <c r="H62" s="46" t="str">
        <f t="shared" ca="1" si="16"/>
        <v/>
      </c>
      <c r="I62" s="46" t="str">
        <f t="shared" ca="1" si="16"/>
        <v/>
      </c>
      <c r="J62" s="47" t="str">
        <f t="shared" ca="1" si="16"/>
        <v/>
      </c>
      <c r="K62" s="47" t="str">
        <f t="shared" ca="1" si="16"/>
        <v/>
      </c>
      <c r="L62" s="47" t="str">
        <f t="shared" ref="L62:U71" ca="1" si="17">IFERROR(IF(INDIRECT("raw!R"&amp;$A62&amp;"C"&amp;L$10,FALSE)&lt;&gt;"",INDIRECT("raw!R"&amp;$A62&amp;"C"&amp;L$10,FALSE),""),"")</f>
        <v/>
      </c>
      <c r="M62" s="47" t="str">
        <f t="shared" ca="1" si="17"/>
        <v/>
      </c>
      <c r="N62" s="47" t="str">
        <f t="shared" ca="1" si="17"/>
        <v/>
      </c>
      <c r="O62" s="47" t="str">
        <f t="shared" ca="1" si="17"/>
        <v/>
      </c>
      <c r="P62" s="47" t="str">
        <f t="shared" ca="1" si="17"/>
        <v/>
      </c>
      <c r="Q62" s="47" t="str">
        <f t="shared" ca="1" si="17"/>
        <v/>
      </c>
      <c r="R62" s="47" t="str">
        <f t="shared" ca="1" si="17"/>
        <v/>
      </c>
      <c r="S62" s="47" t="str">
        <f t="shared" ca="1" si="17"/>
        <v/>
      </c>
      <c r="T62" s="47" t="str">
        <f t="shared" ca="1" si="17"/>
        <v/>
      </c>
      <c r="U62" s="47" t="str">
        <f t="shared" ca="1" si="17"/>
        <v/>
      </c>
      <c r="V62" s="47" t="str">
        <f t="shared" ref="V62:AC71" ca="1" si="18">IFERROR(IF(INDIRECT("raw!R"&amp;$A62&amp;"C"&amp;V$10,FALSE)&lt;&gt;"",INDIRECT("raw!R"&amp;$A62&amp;"C"&amp;V$10,FALSE),""),"")</f>
        <v/>
      </c>
      <c r="W62" s="47" t="str">
        <f t="shared" ca="1" si="18"/>
        <v/>
      </c>
      <c r="X62" s="47" t="str">
        <f t="shared" ca="1" si="18"/>
        <v/>
      </c>
      <c r="Y62" s="47" t="str">
        <f t="shared" ca="1" si="18"/>
        <v/>
      </c>
      <c r="Z62" s="47" t="str">
        <f t="shared" ca="1" si="18"/>
        <v/>
      </c>
      <c r="AA62" s="47" t="str">
        <f t="shared" ca="1" si="18"/>
        <v/>
      </c>
      <c r="AB62" s="47" t="str">
        <f t="shared" ca="1" si="18"/>
        <v/>
      </c>
      <c r="AC62" s="47" t="str">
        <f t="shared" ca="1" si="18"/>
        <v/>
      </c>
    </row>
    <row r="63" spans="1:29" x14ac:dyDescent="0.3">
      <c r="A63" s="5">
        <f t="shared" si="3"/>
        <v>53</v>
      </c>
      <c r="B63" s="45" t="str">
        <f t="shared" ca="1" si="16"/>
        <v/>
      </c>
      <c r="C63" s="46" t="str">
        <f t="shared" ca="1" si="16"/>
        <v/>
      </c>
      <c r="D63" s="46" t="str">
        <f t="shared" ca="1" si="16"/>
        <v/>
      </c>
      <c r="E63" s="45" t="str">
        <f t="shared" ca="1" si="16"/>
        <v/>
      </c>
      <c r="F63" s="46" t="str">
        <f t="shared" ca="1" si="16"/>
        <v/>
      </c>
      <c r="G63" s="46" t="str">
        <f t="shared" ca="1" si="16"/>
        <v/>
      </c>
      <c r="H63" s="46" t="str">
        <f t="shared" ca="1" si="16"/>
        <v/>
      </c>
      <c r="I63" s="46" t="str">
        <f t="shared" ca="1" si="16"/>
        <v/>
      </c>
      <c r="J63" s="47" t="str">
        <f t="shared" ca="1" si="16"/>
        <v/>
      </c>
      <c r="K63" s="47" t="str">
        <f t="shared" ca="1" si="16"/>
        <v/>
      </c>
      <c r="L63" s="47" t="str">
        <f t="shared" ca="1" si="17"/>
        <v/>
      </c>
      <c r="M63" s="47" t="str">
        <f t="shared" ca="1" si="17"/>
        <v/>
      </c>
      <c r="N63" s="47" t="str">
        <f t="shared" ca="1" si="17"/>
        <v/>
      </c>
      <c r="O63" s="47" t="str">
        <f t="shared" ca="1" si="17"/>
        <v/>
      </c>
      <c r="P63" s="47" t="str">
        <f t="shared" ca="1" si="17"/>
        <v/>
      </c>
      <c r="Q63" s="47" t="str">
        <f t="shared" ca="1" si="17"/>
        <v/>
      </c>
      <c r="R63" s="47" t="str">
        <f t="shared" ca="1" si="17"/>
        <v/>
      </c>
      <c r="S63" s="47" t="str">
        <f t="shared" ca="1" si="17"/>
        <v/>
      </c>
      <c r="T63" s="47" t="str">
        <f t="shared" ca="1" si="17"/>
        <v/>
      </c>
      <c r="U63" s="47" t="str">
        <f t="shared" ca="1" si="17"/>
        <v/>
      </c>
      <c r="V63" s="47" t="str">
        <f t="shared" ca="1" si="18"/>
        <v/>
      </c>
      <c r="W63" s="47" t="str">
        <f t="shared" ca="1" si="18"/>
        <v/>
      </c>
      <c r="X63" s="47" t="str">
        <f t="shared" ca="1" si="18"/>
        <v/>
      </c>
      <c r="Y63" s="47" t="str">
        <f t="shared" ca="1" si="18"/>
        <v/>
      </c>
      <c r="Z63" s="47" t="str">
        <f t="shared" ca="1" si="18"/>
        <v/>
      </c>
      <c r="AA63" s="47" t="str">
        <f t="shared" ca="1" si="18"/>
        <v/>
      </c>
      <c r="AB63" s="47" t="str">
        <f t="shared" ca="1" si="18"/>
        <v/>
      </c>
      <c r="AC63" s="47" t="str">
        <f t="shared" ca="1" si="18"/>
        <v/>
      </c>
    </row>
    <row r="64" spans="1:29" x14ac:dyDescent="0.3">
      <c r="A64" s="5">
        <f t="shared" si="3"/>
        <v>54</v>
      </c>
      <c r="B64" s="45" t="str">
        <f t="shared" ca="1" si="16"/>
        <v/>
      </c>
      <c r="C64" s="46" t="str">
        <f t="shared" ca="1" si="16"/>
        <v/>
      </c>
      <c r="D64" s="46" t="str">
        <f t="shared" ca="1" si="16"/>
        <v/>
      </c>
      <c r="E64" s="45" t="str">
        <f t="shared" ca="1" si="16"/>
        <v/>
      </c>
      <c r="F64" s="46" t="str">
        <f t="shared" ca="1" si="16"/>
        <v/>
      </c>
      <c r="G64" s="46" t="str">
        <f t="shared" ca="1" si="16"/>
        <v/>
      </c>
      <c r="H64" s="46" t="str">
        <f t="shared" ca="1" si="16"/>
        <v/>
      </c>
      <c r="I64" s="46" t="str">
        <f t="shared" ca="1" si="16"/>
        <v/>
      </c>
      <c r="J64" s="47" t="str">
        <f t="shared" ca="1" si="16"/>
        <v/>
      </c>
      <c r="K64" s="47" t="str">
        <f t="shared" ca="1" si="16"/>
        <v/>
      </c>
      <c r="L64" s="47" t="str">
        <f t="shared" ca="1" si="17"/>
        <v/>
      </c>
      <c r="M64" s="47" t="str">
        <f t="shared" ca="1" si="17"/>
        <v/>
      </c>
      <c r="N64" s="47" t="str">
        <f t="shared" ca="1" si="17"/>
        <v/>
      </c>
      <c r="O64" s="47" t="str">
        <f t="shared" ca="1" si="17"/>
        <v/>
      </c>
      <c r="P64" s="47" t="str">
        <f t="shared" ca="1" si="17"/>
        <v/>
      </c>
      <c r="Q64" s="47" t="str">
        <f t="shared" ca="1" si="17"/>
        <v/>
      </c>
      <c r="R64" s="47" t="str">
        <f t="shared" ca="1" si="17"/>
        <v/>
      </c>
      <c r="S64" s="47" t="str">
        <f t="shared" ca="1" si="17"/>
        <v/>
      </c>
      <c r="T64" s="47" t="str">
        <f t="shared" ca="1" si="17"/>
        <v/>
      </c>
      <c r="U64" s="47" t="str">
        <f t="shared" ca="1" si="17"/>
        <v/>
      </c>
      <c r="V64" s="47" t="str">
        <f t="shared" ca="1" si="18"/>
        <v/>
      </c>
      <c r="W64" s="47" t="str">
        <f t="shared" ca="1" si="18"/>
        <v/>
      </c>
      <c r="X64" s="47" t="str">
        <f t="shared" ca="1" si="18"/>
        <v/>
      </c>
      <c r="Y64" s="47" t="str">
        <f t="shared" ca="1" si="18"/>
        <v/>
      </c>
      <c r="Z64" s="47" t="str">
        <f t="shared" ca="1" si="18"/>
        <v/>
      </c>
      <c r="AA64" s="47" t="str">
        <f t="shared" ca="1" si="18"/>
        <v/>
      </c>
      <c r="AB64" s="47" t="str">
        <f t="shared" ca="1" si="18"/>
        <v/>
      </c>
      <c r="AC64" s="47" t="str">
        <f t="shared" ca="1" si="18"/>
        <v/>
      </c>
    </row>
    <row r="65" spans="1:29" x14ac:dyDescent="0.3">
      <c r="A65" s="5">
        <f t="shared" si="3"/>
        <v>55</v>
      </c>
      <c r="B65" s="45" t="str">
        <f t="shared" ca="1" si="16"/>
        <v/>
      </c>
      <c r="C65" s="46" t="str">
        <f t="shared" ca="1" si="16"/>
        <v/>
      </c>
      <c r="D65" s="46" t="str">
        <f t="shared" ca="1" si="16"/>
        <v/>
      </c>
      <c r="E65" s="45" t="str">
        <f t="shared" ca="1" si="16"/>
        <v/>
      </c>
      <c r="F65" s="46" t="str">
        <f t="shared" ca="1" si="16"/>
        <v/>
      </c>
      <c r="G65" s="46" t="str">
        <f t="shared" ca="1" si="16"/>
        <v/>
      </c>
      <c r="H65" s="46" t="str">
        <f t="shared" ca="1" si="16"/>
        <v/>
      </c>
      <c r="I65" s="46" t="str">
        <f t="shared" ca="1" si="16"/>
        <v/>
      </c>
      <c r="J65" s="47" t="str">
        <f t="shared" ca="1" si="16"/>
        <v/>
      </c>
      <c r="K65" s="47" t="str">
        <f t="shared" ca="1" si="16"/>
        <v/>
      </c>
      <c r="L65" s="47" t="str">
        <f t="shared" ca="1" si="17"/>
        <v/>
      </c>
      <c r="M65" s="47" t="str">
        <f t="shared" ca="1" si="17"/>
        <v/>
      </c>
      <c r="N65" s="47" t="str">
        <f t="shared" ca="1" si="17"/>
        <v/>
      </c>
      <c r="O65" s="47" t="str">
        <f t="shared" ca="1" si="17"/>
        <v/>
      </c>
      <c r="P65" s="47" t="str">
        <f t="shared" ca="1" si="17"/>
        <v/>
      </c>
      <c r="Q65" s="47" t="str">
        <f t="shared" ca="1" si="17"/>
        <v/>
      </c>
      <c r="R65" s="47" t="str">
        <f t="shared" ca="1" si="17"/>
        <v/>
      </c>
      <c r="S65" s="47" t="str">
        <f t="shared" ca="1" si="17"/>
        <v/>
      </c>
      <c r="T65" s="47" t="str">
        <f t="shared" ca="1" si="17"/>
        <v/>
      </c>
      <c r="U65" s="47" t="str">
        <f t="shared" ca="1" si="17"/>
        <v/>
      </c>
      <c r="V65" s="47" t="str">
        <f t="shared" ca="1" si="18"/>
        <v/>
      </c>
      <c r="W65" s="47" t="str">
        <f t="shared" ca="1" si="18"/>
        <v/>
      </c>
      <c r="X65" s="47" t="str">
        <f t="shared" ca="1" si="18"/>
        <v/>
      </c>
      <c r="Y65" s="47" t="str">
        <f t="shared" ca="1" si="18"/>
        <v/>
      </c>
      <c r="Z65" s="47" t="str">
        <f t="shared" ca="1" si="18"/>
        <v/>
      </c>
      <c r="AA65" s="47" t="str">
        <f t="shared" ca="1" si="18"/>
        <v/>
      </c>
      <c r="AB65" s="47" t="str">
        <f t="shared" ca="1" si="18"/>
        <v/>
      </c>
      <c r="AC65" s="47" t="str">
        <f t="shared" ca="1" si="18"/>
        <v/>
      </c>
    </row>
    <row r="66" spans="1:29" x14ac:dyDescent="0.3">
      <c r="A66" s="5">
        <f t="shared" si="3"/>
        <v>56</v>
      </c>
      <c r="B66" s="45" t="str">
        <f t="shared" ca="1" si="16"/>
        <v/>
      </c>
      <c r="C66" s="46" t="str">
        <f t="shared" ca="1" si="16"/>
        <v/>
      </c>
      <c r="D66" s="46" t="str">
        <f t="shared" ca="1" si="16"/>
        <v/>
      </c>
      <c r="E66" s="45" t="str">
        <f t="shared" ca="1" si="16"/>
        <v/>
      </c>
      <c r="F66" s="46" t="str">
        <f t="shared" ca="1" si="16"/>
        <v/>
      </c>
      <c r="G66" s="46" t="str">
        <f t="shared" ca="1" si="16"/>
        <v/>
      </c>
      <c r="H66" s="46" t="str">
        <f t="shared" ca="1" si="16"/>
        <v/>
      </c>
      <c r="I66" s="46" t="str">
        <f t="shared" ca="1" si="16"/>
        <v/>
      </c>
      <c r="J66" s="47" t="str">
        <f t="shared" ca="1" si="16"/>
        <v/>
      </c>
      <c r="K66" s="47" t="str">
        <f t="shared" ca="1" si="16"/>
        <v/>
      </c>
      <c r="L66" s="47" t="str">
        <f t="shared" ca="1" si="17"/>
        <v/>
      </c>
      <c r="M66" s="47" t="str">
        <f t="shared" ca="1" si="17"/>
        <v/>
      </c>
      <c r="N66" s="47" t="str">
        <f t="shared" ca="1" si="17"/>
        <v/>
      </c>
      <c r="O66" s="47" t="str">
        <f t="shared" ca="1" si="17"/>
        <v/>
      </c>
      <c r="P66" s="47" t="str">
        <f t="shared" ca="1" si="17"/>
        <v/>
      </c>
      <c r="Q66" s="47" t="str">
        <f t="shared" ca="1" si="17"/>
        <v/>
      </c>
      <c r="R66" s="47" t="str">
        <f t="shared" ca="1" si="17"/>
        <v/>
      </c>
      <c r="S66" s="47" t="str">
        <f t="shared" ca="1" si="17"/>
        <v/>
      </c>
      <c r="T66" s="47" t="str">
        <f t="shared" ca="1" si="17"/>
        <v/>
      </c>
      <c r="U66" s="47" t="str">
        <f t="shared" ca="1" si="17"/>
        <v/>
      </c>
      <c r="V66" s="47" t="str">
        <f t="shared" ca="1" si="18"/>
        <v/>
      </c>
      <c r="W66" s="47" t="str">
        <f t="shared" ca="1" si="18"/>
        <v/>
      </c>
      <c r="X66" s="47" t="str">
        <f t="shared" ca="1" si="18"/>
        <v/>
      </c>
      <c r="Y66" s="47" t="str">
        <f t="shared" ca="1" si="18"/>
        <v/>
      </c>
      <c r="Z66" s="47" t="str">
        <f t="shared" ca="1" si="18"/>
        <v/>
      </c>
      <c r="AA66" s="47" t="str">
        <f t="shared" ca="1" si="18"/>
        <v/>
      </c>
      <c r="AB66" s="47" t="str">
        <f t="shared" ca="1" si="18"/>
        <v/>
      </c>
      <c r="AC66" s="47" t="str">
        <f t="shared" ca="1" si="18"/>
        <v/>
      </c>
    </row>
    <row r="67" spans="1:29" x14ac:dyDescent="0.3">
      <c r="A67" s="5">
        <f t="shared" si="3"/>
        <v>57</v>
      </c>
      <c r="B67" s="45" t="str">
        <f t="shared" ca="1" si="16"/>
        <v/>
      </c>
      <c r="C67" s="46" t="str">
        <f t="shared" ca="1" si="16"/>
        <v/>
      </c>
      <c r="D67" s="46" t="str">
        <f t="shared" ca="1" si="16"/>
        <v/>
      </c>
      <c r="E67" s="45" t="str">
        <f t="shared" ca="1" si="16"/>
        <v/>
      </c>
      <c r="F67" s="46" t="str">
        <f t="shared" ca="1" si="16"/>
        <v/>
      </c>
      <c r="G67" s="46" t="str">
        <f t="shared" ca="1" si="16"/>
        <v/>
      </c>
      <c r="H67" s="46" t="str">
        <f t="shared" ca="1" si="16"/>
        <v/>
      </c>
      <c r="I67" s="46" t="str">
        <f t="shared" ca="1" si="16"/>
        <v/>
      </c>
      <c r="J67" s="47" t="str">
        <f t="shared" ca="1" si="16"/>
        <v/>
      </c>
      <c r="K67" s="47" t="str">
        <f t="shared" ca="1" si="16"/>
        <v/>
      </c>
      <c r="L67" s="47" t="str">
        <f t="shared" ca="1" si="17"/>
        <v/>
      </c>
      <c r="M67" s="47" t="str">
        <f t="shared" ca="1" si="17"/>
        <v/>
      </c>
      <c r="N67" s="47" t="str">
        <f t="shared" ca="1" si="17"/>
        <v/>
      </c>
      <c r="O67" s="47" t="str">
        <f t="shared" ca="1" si="17"/>
        <v/>
      </c>
      <c r="P67" s="47" t="str">
        <f t="shared" ca="1" si="17"/>
        <v/>
      </c>
      <c r="Q67" s="47" t="str">
        <f t="shared" ca="1" si="17"/>
        <v/>
      </c>
      <c r="R67" s="47" t="str">
        <f t="shared" ca="1" si="17"/>
        <v/>
      </c>
      <c r="S67" s="47" t="str">
        <f t="shared" ca="1" si="17"/>
        <v/>
      </c>
      <c r="T67" s="47" t="str">
        <f t="shared" ca="1" si="17"/>
        <v/>
      </c>
      <c r="U67" s="47" t="str">
        <f t="shared" ca="1" si="17"/>
        <v/>
      </c>
      <c r="V67" s="47" t="str">
        <f t="shared" ca="1" si="18"/>
        <v/>
      </c>
      <c r="W67" s="47" t="str">
        <f t="shared" ca="1" si="18"/>
        <v/>
      </c>
      <c r="X67" s="47" t="str">
        <f t="shared" ca="1" si="18"/>
        <v/>
      </c>
      <c r="Y67" s="47" t="str">
        <f t="shared" ca="1" si="18"/>
        <v/>
      </c>
      <c r="Z67" s="47" t="str">
        <f t="shared" ca="1" si="18"/>
        <v/>
      </c>
      <c r="AA67" s="47" t="str">
        <f t="shared" ca="1" si="18"/>
        <v/>
      </c>
      <c r="AB67" s="47" t="str">
        <f t="shared" ca="1" si="18"/>
        <v/>
      </c>
      <c r="AC67" s="47" t="str">
        <f t="shared" ca="1" si="18"/>
        <v/>
      </c>
    </row>
    <row r="68" spans="1:29" x14ac:dyDescent="0.3">
      <c r="A68" s="5">
        <f t="shared" si="3"/>
        <v>58</v>
      </c>
      <c r="B68" s="45" t="str">
        <f t="shared" ca="1" si="16"/>
        <v/>
      </c>
      <c r="C68" s="46" t="str">
        <f t="shared" ca="1" si="16"/>
        <v/>
      </c>
      <c r="D68" s="46" t="str">
        <f t="shared" ca="1" si="16"/>
        <v/>
      </c>
      <c r="E68" s="45" t="str">
        <f t="shared" ca="1" si="16"/>
        <v/>
      </c>
      <c r="F68" s="46" t="str">
        <f t="shared" ca="1" si="16"/>
        <v/>
      </c>
      <c r="G68" s="46" t="str">
        <f t="shared" ca="1" si="16"/>
        <v/>
      </c>
      <c r="H68" s="46" t="str">
        <f t="shared" ca="1" si="16"/>
        <v/>
      </c>
      <c r="I68" s="46" t="str">
        <f t="shared" ca="1" si="16"/>
        <v/>
      </c>
      <c r="J68" s="47" t="str">
        <f t="shared" ca="1" si="16"/>
        <v/>
      </c>
      <c r="K68" s="47" t="str">
        <f t="shared" ca="1" si="16"/>
        <v/>
      </c>
      <c r="L68" s="47" t="str">
        <f t="shared" ca="1" si="17"/>
        <v/>
      </c>
      <c r="M68" s="47" t="str">
        <f t="shared" ca="1" si="17"/>
        <v/>
      </c>
      <c r="N68" s="47" t="str">
        <f t="shared" ca="1" si="17"/>
        <v/>
      </c>
      <c r="O68" s="47" t="str">
        <f t="shared" ca="1" si="17"/>
        <v/>
      </c>
      <c r="P68" s="47" t="str">
        <f t="shared" ca="1" si="17"/>
        <v/>
      </c>
      <c r="Q68" s="47" t="str">
        <f t="shared" ca="1" si="17"/>
        <v/>
      </c>
      <c r="R68" s="47" t="str">
        <f t="shared" ca="1" si="17"/>
        <v/>
      </c>
      <c r="S68" s="47" t="str">
        <f t="shared" ca="1" si="17"/>
        <v/>
      </c>
      <c r="T68" s="47" t="str">
        <f t="shared" ca="1" si="17"/>
        <v/>
      </c>
      <c r="U68" s="47" t="str">
        <f t="shared" ca="1" si="17"/>
        <v/>
      </c>
      <c r="V68" s="47" t="str">
        <f t="shared" ca="1" si="18"/>
        <v/>
      </c>
      <c r="W68" s="47" t="str">
        <f t="shared" ca="1" si="18"/>
        <v/>
      </c>
      <c r="X68" s="47" t="str">
        <f t="shared" ca="1" si="18"/>
        <v/>
      </c>
      <c r="Y68" s="47" t="str">
        <f t="shared" ca="1" si="18"/>
        <v/>
      </c>
      <c r="Z68" s="47" t="str">
        <f t="shared" ca="1" si="18"/>
        <v/>
      </c>
      <c r="AA68" s="47" t="str">
        <f t="shared" ca="1" si="18"/>
        <v/>
      </c>
      <c r="AB68" s="47" t="str">
        <f t="shared" ca="1" si="18"/>
        <v/>
      </c>
      <c r="AC68" s="47" t="str">
        <f t="shared" ca="1" si="18"/>
        <v/>
      </c>
    </row>
    <row r="69" spans="1:29" x14ac:dyDescent="0.3">
      <c r="A69" s="5">
        <f t="shared" si="3"/>
        <v>59</v>
      </c>
      <c r="B69" s="45" t="str">
        <f t="shared" ca="1" si="16"/>
        <v/>
      </c>
      <c r="C69" s="46" t="str">
        <f t="shared" ca="1" si="16"/>
        <v/>
      </c>
      <c r="D69" s="46" t="str">
        <f t="shared" ca="1" si="16"/>
        <v/>
      </c>
      <c r="E69" s="45" t="str">
        <f t="shared" ca="1" si="16"/>
        <v/>
      </c>
      <c r="F69" s="46" t="str">
        <f t="shared" ca="1" si="16"/>
        <v/>
      </c>
      <c r="G69" s="46" t="str">
        <f t="shared" ca="1" si="16"/>
        <v/>
      </c>
      <c r="H69" s="46" t="str">
        <f t="shared" ca="1" si="16"/>
        <v/>
      </c>
      <c r="I69" s="46" t="str">
        <f t="shared" ca="1" si="16"/>
        <v/>
      </c>
      <c r="J69" s="47" t="str">
        <f t="shared" ca="1" si="16"/>
        <v/>
      </c>
      <c r="K69" s="47" t="str">
        <f t="shared" ca="1" si="16"/>
        <v/>
      </c>
      <c r="L69" s="47" t="str">
        <f t="shared" ca="1" si="17"/>
        <v/>
      </c>
      <c r="M69" s="47" t="str">
        <f t="shared" ca="1" si="17"/>
        <v/>
      </c>
      <c r="N69" s="47" t="str">
        <f t="shared" ca="1" si="17"/>
        <v/>
      </c>
      <c r="O69" s="47" t="str">
        <f t="shared" ca="1" si="17"/>
        <v/>
      </c>
      <c r="P69" s="47" t="str">
        <f t="shared" ca="1" si="17"/>
        <v/>
      </c>
      <c r="Q69" s="47" t="str">
        <f t="shared" ca="1" si="17"/>
        <v/>
      </c>
      <c r="R69" s="47" t="str">
        <f t="shared" ca="1" si="17"/>
        <v/>
      </c>
      <c r="S69" s="47" t="str">
        <f t="shared" ca="1" si="17"/>
        <v/>
      </c>
      <c r="T69" s="47" t="str">
        <f t="shared" ca="1" si="17"/>
        <v/>
      </c>
      <c r="U69" s="47" t="str">
        <f t="shared" ca="1" si="17"/>
        <v/>
      </c>
      <c r="V69" s="47" t="str">
        <f t="shared" ca="1" si="18"/>
        <v/>
      </c>
      <c r="W69" s="47" t="str">
        <f t="shared" ca="1" si="18"/>
        <v/>
      </c>
      <c r="X69" s="47" t="str">
        <f t="shared" ca="1" si="18"/>
        <v/>
      </c>
      <c r="Y69" s="47" t="str">
        <f t="shared" ca="1" si="18"/>
        <v/>
      </c>
      <c r="Z69" s="47" t="str">
        <f t="shared" ca="1" si="18"/>
        <v/>
      </c>
      <c r="AA69" s="47" t="str">
        <f t="shared" ca="1" si="18"/>
        <v/>
      </c>
      <c r="AB69" s="47" t="str">
        <f t="shared" ca="1" si="18"/>
        <v/>
      </c>
      <c r="AC69" s="47" t="str">
        <f t="shared" ca="1" si="18"/>
        <v/>
      </c>
    </row>
    <row r="70" spans="1:29" x14ac:dyDescent="0.3">
      <c r="A70" s="5">
        <f t="shared" si="3"/>
        <v>60</v>
      </c>
      <c r="B70" s="45" t="str">
        <f t="shared" ca="1" si="16"/>
        <v/>
      </c>
      <c r="C70" s="46" t="str">
        <f t="shared" ca="1" si="16"/>
        <v/>
      </c>
      <c r="D70" s="46" t="str">
        <f t="shared" ca="1" si="16"/>
        <v/>
      </c>
      <c r="E70" s="45" t="str">
        <f t="shared" ca="1" si="16"/>
        <v/>
      </c>
      <c r="F70" s="46" t="str">
        <f t="shared" ca="1" si="16"/>
        <v/>
      </c>
      <c r="G70" s="46" t="str">
        <f t="shared" ca="1" si="16"/>
        <v/>
      </c>
      <c r="H70" s="46" t="str">
        <f t="shared" ca="1" si="16"/>
        <v/>
      </c>
      <c r="I70" s="46" t="str">
        <f t="shared" ca="1" si="16"/>
        <v/>
      </c>
      <c r="J70" s="47" t="str">
        <f t="shared" ca="1" si="16"/>
        <v/>
      </c>
      <c r="K70" s="47" t="str">
        <f t="shared" ca="1" si="16"/>
        <v/>
      </c>
      <c r="L70" s="47" t="str">
        <f t="shared" ca="1" si="17"/>
        <v/>
      </c>
      <c r="M70" s="47" t="str">
        <f t="shared" ca="1" si="17"/>
        <v/>
      </c>
      <c r="N70" s="47" t="str">
        <f t="shared" ca="1" si="17"/>
        <v/>
      </c>
      <c r="O70" s="47" t="str">
        <f t="shared" ca="1" si="17"/>
        <v/>
      </c>
      <c r="P70" s="47" t="str">
        <f t="shared" ca="1" si="17"/>
        <v/>
      </c>
      <c r="Q70" s="47" t="str">
        <f t="shared" ca="1" si="17"/>
        <v/>
      </c>
      <c r="R70" s="47" t="str">
        <f t="shared" ca="1" si="17"/>
        <v/>
      </c>
      <c r="S70" s="47" t="str">
        <f t="shared" ca="1" si="17"/>
        <v/>
      </c>
      <c r="T70" s="47" t="str">
        <f t="shared" ca="1" si="17"/>
        <v/>
      </c>
      <c r="U70" s="47" t="str">
        <f t="shared" ca="1" si="17"/>
        <v/>
      </c>
      <c r="V70" s="47" t="str">
        <f t="shared" ca="1" si="18"/>
        <v/>
      </c>
      <c r="W70" s="47" t="str">
        <f t="shared" ca="1" si="18"/>
        <v/>
      </c>
      <c r="X70" s="47" t="str">
        <f t="shared" ca="1" si="18"/>
        <v/>
      </c>
      <c r="Y70" s="47" t="str">
        <f t="shared" ca="1" si="18"/>
        <v/>
      </c>
      <c r="Z70" s="47" t="str">
        <f t="shared" ca="1" si="18"/>
        <v/>
      </c>
      <c r="AA70" s="47" t="str">
        <f t="shared" ca="1" si="18"/>
        <v/>
      </c>
      <c r="AB70" s="47" t="str">
        <f t="shared" ca="1" si="18"/>
        <v/>
      </c>
      <c r="AC70" s="47" t="str">
        <f t="shared" ca="1" si="18"/>
        <v/>
      </c>
    </row>
    <row r="71" spans="1:29" x14ac:dyDescent="0.3">
      <c r="A71" s="5">
        <f t="shared" si="3"/>
        <v>61</v>
      </c>
      <c r="B71" s="45" t="str">
        <f t="shared" ca="1" si="16"/>
        <v/>
      </c>
      <c r="C71" s="46" t="str">
        <f t="shared" ca="1" si="16"/>
        <v/>
      </c>
      <c r="D71" s="46" t="str">
        <f t="shared" ca="1" si="16"/>
        <v/>
      </c>
      <c r="E71" s="45" t="str">
        <f t="shared" ca="1" si="16"/>
        <v/>
      </c>
      <c r="F71" s="46" t="str">
        <f t="shared" ca="1" si="16"/>
        <v/>
      </c>
      <c r="G71" s="46" t="str">
        <f t="shared" ca="1" si="16"/>
        <v/>
      </c>
      <c r="H71" s="46" t="str">
        <f t="shared" ca="1" si="16"/>
        <v/>
      </c>
      <c r="I71" s="46" t="str">
        <f t="shared" ca="1" si="16"/>
        <v/>
      </c>
      <c r="J71" s="47" t="str">
        <f t="shared" ca="1" si="16"/>
        <v/>
      </c>
      <c r="K71" s="47" t="str">
        <f t="shared" ca="1" si="16"/>
        <v/>
      </c>
      <c r="L71" s="47" t="str">
        <f t="shared" ca="1" si="17"/>
        <v/>
      </c>
      <c r="M71" s="47" t="str">
        <f t="shared" ca="1" si="17"/>
        <v/>
      </c>
      <c r="N71" s="47" t="str">
        <f t="shared" ca="1" si="17"/>
        <v/>
      </c>
      <c r="O71" s="47" t="str">
        <f t="shared" ca="1" si="17"/>
        <v/>
      </c>
      <c r="P71" s="47" t="str">
        <f t="shared" ca="1" si="17"/>
        <v/>
      </c>
      <c r="Q71" s="47" t="str">
        <f t="shared" ca="1" si="17"/>
        <v/>
      </c>
      <c r="R71" s="47" t="str">
        <f t="shared" ca="1" si="17"/>
        <v/>
      </c>
      <c r="S71" s="47" t="str">
        <f t="shared" ca="1" si="17"/>
        <v/>
      </c>
      <c r="T71" s="47" t="str">
        <f t="shared" ca="1" si="17"/>
        <v/>
      </c>
      <c r="U71" s="47" t="str">
        <f t="shared" ca="1" si="17"/>
        <v/>
      </c>
      <c r="V71" s="47" t="str">
        <f t="shared" ca="1" si="18"/>
        <v/>
      </c>
      <c r="W71" s="47" t="str">
        <f t="shared" ca="1" si="18"/>
        <v/>
      </c>
      <c r="X71" s="47" t="str">
        <f t="shared" ca="1" si="18"/>
        <v/>
      </c>
      <c r="Y71" s="47" t="str">
        <f t="shared" ca="1" si="18"/>
        <v/>
      </c>
      <c r="Z71" s="47" t="str">
        <f t="shared" ca="1" si="18"/>
        <v/>
      </c>
      <c r="AA71" s="47" t="str">
        <f t="shared" ca="1" si="18"/>
        <v/>
      </c>
      <c r="AB71" s="47" t="str">
        <f t="shared" ca="1" si="18"/>
        <v/>
      </c>
      <c r="AC71" s="47" t="str">
        <f t="shared" ca="1" si="18"/>
        <v/>
      </c>
    </row>
    <row r="72" spans="1:29" x14ac:dyDescent="0.3">
      <c r="A72" s="5">
        <f t="shared" si="3"/>
        <v>62</v>
      </c>
      <c r="B72" s="45" t="str">
        <f t="shared" ref="B72:K81" ca="1" si="19">IFERROR(IF(INDIRECT("raw!R"&amp;$A72&amp;"C"&amp;B$10,FALSE)&lt;&gt;"",INDIRECT("raw!R"&amp;$A72&amp;"C"&amp;B$10,FALSE),""),"")</f>
        <v/>
      </c>
      <c r="C72" s="46" t="str">
        <f t="shared" ca="1" si="19"/>
        <v/>
      </c>
      <c r="D72" s="46" t="str">
        <f t="shared" ca="1" si="19"/>
        <v/>
      </c>
      <c r="E72" s="45" t="str">
        <f t="shared" ca="1" si="19"/>
        <v/>
      </c>
      <c r="F72" s="46" t="str">
        <f t="shared" ca="1" si="19"/>
        <v/>
      </c>
      <c r="G72" s="46" t="str">
        <f t="shared" ca="1" si="19"/>
        <v/>
      </c>
      <c r="H72" s="46" t="str">
        <f t="shared" ca="1" si="19"/>
        <v/>
      </c>
      <c r="I72" s="46" t="str">
        <f t="shared" ca="1" si="19"/>
        <v/>
      </c>
      <c r="J72" s="47" t="str">
        <f t="shared" ca="1" si="19"/>
        <v/>
      </c>
      <c r="K72" s="47" t="str">
        <f t="shared" ca="1" si="19"/>
        <v/>
      </c>
      <c r="L72" s="47" t="str">
        <f t="shared" ref="L72:U81" ca="1" si="20">IFERROR(IF(INDIRECT("raw!R"&amp;$A72&amp;"C"&amp;L$10,FALSE)&lt;&gt;"",INDIRECT("raw!R"&amp;$A72&amp;"C"&amp;L$10,FALSE),""),"")</f>
        <v/>
      </c>
      <c r="M72" s="47" t="str">
        <f t="shared" ca="1" si="20"/>
        <v/>
      </c>
      <c r="N72" s="47" t="str">
        <f t="shared" ca="1" si="20"/>
        <v/>
      </c>
      <c r="O72" s="47" t="str">
        <f t="shared" ca="1" si="20"/>
        <v/>
      </c>
      <c r="P72" s="47" t="str">
        <f t="shared" ca="1" si="20"/>
        <v/>
      </c>
      <c r="Q72" s="47" t="str">
        <f t="shared" ca="1" si="20"/>
        <v/>
      </c>
      <c r="R72" s="47" t="str">
        <f t="shared" ca="1" si="20"/>
        <v/>
      </c>
      <c r="S72" s="47" t="str">
        <f t="shared" ca="1" si="20"/>
        <v/>
      </c>
      <c r="T72" s="47" t="str">
        <f t="shared" ca="1" si="20"/>
        <v/>
      </c>
      <c r="U72" s="47" t="str">
        <f t="shared" ca="1" si="20"/>
        <v/>
      </c>
      <c r="V72" s="47" t="str">
        <f t="shared" ref="V72:AC81" ca="1" si="21">IFERROR(IF(INDIRECT("raw!R"&amp;$A72&amp;"C"&amp;V$10,FALSE)&lt;&gt;"",INDIRECT("raw!R"&amp;$A72&amp;"C"&amp;V$10,FALSE),""),"")</f>
        <v/>
      </c>
      <c r="W72" s="47" t="str">
        <f t="shared" ca="1" si="21"/>
        <v/>
      </c>
      <c r="X72" s="47" t="str">
        <f t="shared" ca="1" si="21"/>
        <v/>
      </c>
      <c r="Y72" s="47" t="str">
        <f t="shared" ca="1" si="21"/>
        <v/>
      </c>
      <c r="Z72" s="47" t="str">
        <f t="shared" ca="1" si="21"/>
        <v/>
      </c>
      <c r="AA72" s="47" t="str">
        <f t="shared" ca="1" si="21"/>
        <v/>
      </c>
      <c r="AB72" s="47" t="str">
        <f t="shared" ca="1" si="21"/>
        <v/>
      </c>
      <c r="AC72" s="47" t="str">
        <f t="shared" ca="1" si="21"/>
        <v/>
      </c>
    </row>
    <row r="73" spans="1:29" x14ac:dyDescent="0.3">
      <c r="A73" s="5">
        <f t="shared" si="3"/>
        <v>63</v>
      </c>
      <c r="B73" s="45" t="str">
        <f t="shared" ca="1" si="19"/>
        <v/>
      </c>
      <c r="C73" s="46" t="str">
        <f t="shared" ca="1" si="19"/>
        <v/>
      </c>
      <c r="D73" s="46" t="str">
        <f t="shared" ca="1" si="19"/>
        <v/>
      </c>
      <c r="E73" s="45" t="str">
        <f t="shared" ca="1" si="19"/>
        <v/>
      </c>
      <c r="F73" s="46" t="str">
        <f t="shared" ca="1" si="19"/>
        <v/>
      </c>
      <c r="G73" s="46" t="str">
        <f t="shared" ca="1" si="19"/>
        <v/>
      </c>
      <c r="H73" s="46" t="str">
        <f t="shared" ca="1" si="19"/>
        <v/>
      </c>
      <c r="I73" s="46" t="str">
        <f t="shared" ca="1" si="19"/>
        <v/>
      </c>
      <c r="J73" s="47" t="str">
        <f t="shared" ca="1" si="19"/>
        <v/>
      </c>
      <c r="K73" s="47" t="str">
        <f t="shared" ca="1" si="19"/>
        <v/>
      </c>
      <c r="L73" s="47" t="str">
        <f t="shared" ca="1" si="20"/>
        <v/>
      </c>
      <c r="M73" s="47" t="str">
        <f t="shared" ca="1" si="20"/>
        <v/>
      </c>
      <c r="N73" s="47" t="str">
        <f t="shared" ca="1" si="20"/>
        <v/>
      </c>
      <c r="O73" s="47" t="str">
        <f t="shared" ca="1" si="20"/>
        <v/>
      </c>
      <c r="P73" s="47" t="str">
        <f t="shared" ca="1" si="20"/>
        <v/>
      </c>
      <c r="Q73" s="47" t="str">
        <f t="shared" ca="1" si="20"/>
        <v/>
      </c>
      <c r="R73" s="47" t="str">
        <f t="shared" ca="1" si="20"/>
        <v/>
      </c>
      <c r="S73" s="47" t="str">
        <f t="shared" ca="1" si="20"/>
        <v/>
      </c>
      <c r="T73" s="47" t="str">
        <f t="shared" ca="1" si="20"/>
        <v/>
      </c>
      <c r="U73" s="47" t="str">
        <f t="shared" ca="1" si="20"/>
        <v/>
      </c>
      <c r="V73" s="47" t="str">
        <f t="shared" ca="1" si="21"/>
        <v/>
      </c>
      <c r="W73" s="47" t="str">
        <f t="shared" ca="1" si="21"/>
        <v/>
      </c>
      <c r="X73" s="47" t="str">
        <f t="shared" ca="1" si="21"/>
        <v/>
      </c>
      <c r="Y73" s="47" t="str">
        <f t="shared" ca="1" si="21"/>
        <v/>
      </c>
      <c r="Z73" s="47" t="str">
        <f t="shared" ca="1" si="21"/>
        <v/>
      </c>
      <c r="AA73" s="47" t="str">
        <f t="shared" ca="1" si="21"/>
        <v/>
      </c>
      <c r="AB73" s="47" t="str">
        <f t="shared" ca="1" si="21"/>
        <v/>
      </c>
      <c r="AC73" s="47" t="str">
        <f t="shared" ca="1" si="21"/>
        <v/>
      </c>
    </row>
    <row r="74" spans="1:29" x14ac:dyDescent="0.3">
      <c r="A74" s="5">
        <f t="shared" si="3"/>
        <v>64</v>
      </c>
      <c r="B74" s="45" t="str">
        <f t="shared" ca="1" si="19"/>
        <v/>
      </c>
      <c r="C74" s="46" t="str">
        <f t="shared" ca="1" si="19"/>
        <v/>
      </c>
      <c r="D74" s="46" t="str">
        <f t="shared" ca="1" si="19"/>
        <v/>
      </c>
      <c r="E74" s="45" t="str">
        <f t="shared" ca="1" si="19"/>
        <v/>
      </c>
      <c r="F74" s="46" t="str">
        <f t="shared" ca="1" si="19"/>
        <v/>
      </c>
      <c r="G74" s="46" t="str">
        <f t="shared" ca="1" si="19"/>
        <v/>
      </c>
      <c r="H74" s="46" t="str">
        <f t="shared" ca="1" si="19"/>
        <v/>
      </c>
      <c r="I74" s="46" t="str">
        <f t="shared" ca="1" si="19"/>
        <v/>
      </c>
      <c r="J74" s="47" t="str">
        <f t="shared" ca="1" si="19"/>
        <v/>
      </c>
      <c r="K74" s="47" t="str">
        <f t="shared" ca="1" si="19"/>
        <v/>
      </c>
      <c r="L74" s="47" t="str">
        <f t="shared" ca="1" si="20"/>
        <v/>
      </c>
      <c r="M74" s="47" t="str">
        <f t="shared" ca="1" si="20"/>
        <v/>
      </c>
      <c r="N74" s="47" t="str">
        <f t="shared" ca="1" si="20"/>
        <v/>
      </c>
      <c r="O74" s="47" t="str">
        <f t="shared" ca="1" si="20"/>
        <v/>
      </c>
      <c r="P74" s="47" t="str">
        <f t="shared" ca="1" si="20"/>
        <v/>
      </c>
      <c r="Q74" s="47" t="str">
        <f t="shared" ca="1" si="20"/>
        <v/>
      </c>
      <c r="R74" s="47" t="str">
        <f t="shared" ca="1" si="20"/>
        <v/>
      </c>
      <c r="S74" s="47" t="str">
        <f t="shared" ca="1" si="20"/>
        <v/>
      </c>
      <c r="T74" s="47" t="str">
        <f t="shared" ca="1" si="20"/>
        <v/>
      </c>
      <c r="U74" s="47" t="str">
        <f t="shared" ca="1" si="20"/>
        <v/>
      </c>
      <c r="V74" s="47" t="str">
        <f t="shared" ca="1" si="21"/>
        <v/>
      </c>
      <c r="W74" s="47" t="str">
        <f t="shared" ca="1" si="21"/>
        <v/>
      </c>
      <c r="X74" s="47" t="str">
        <f t="shared" ca="1" si="21"/>
        <v/>
      </c>
      <c r="Y74" s="47" t="str">
        <f t="shared" ca="1" si="21"/>
        <v/>
      </c>
      <c r="Z74" s="47" t="str">
        <f t="shared" ca="1" si="21"/>
        <v/>
      </c>
      <c r="AA74" s="47" t="str">
        <f t="shared" ca="1" si="21"/>
        <v/>
      </c>
      <c r="AB74" s="47" t="str">
        <f t="shared" ca="1" si="21"/>
        <v/>
      </c>
      <c r="AC74" s="47" t="str">
        <f t="shared" ca="1" si="21"/>
        <v/>
      </c>
    </row>
    <row r="75" spans="1:29" x14ac:dyDescent="0.3">
      <c r="A75" s="5">
        <f t="shared" si="3"/>
        <v>65</v>
      </c>
      <c r="B75" s="45" t="str">
        <f t="shared" ca="1" si="19"/>
        <v/>
      </c>
      <c r="C75" s="46" t="str">
        <f t="shared" ca="1" si="19"/>
        <v/>
      </c>
      <c r="D75" s="46" t="str">
        <f t="shared" ca="1" si="19"/>
        <v/>
      </c>
      <c r="E75" s="45" t="str">
        <f t="shared" ca="1" si="19"/>
        <v/>
      </c>
      <c r="F75" s="46" t="str">
        <f t="shared" ca="1" si="19"/>
        <v/>
      </c>
      <c r="G75" s="46" t="str">
        <f t="shared" ca="1" si="19"/>
        <v/>
      </c>
      <c r="H75" s="46" t="str">
        <f t="shared" ca="1" si="19"/>
        <v/>
      </c>
      <c r="I75" s="46" t="str">
        <f t="shared" ca="1" si="19"/>
        <v/>
      </c>
      <c r="J75" s="47" t="str">
        <f t="shared" ca="1" si="19"/>
        <v/>
      </c>
      <c r="K75" s="47" t="str">
        <f t="shared" ca="1" si="19"/>
        <v/>
      </c>
      <c r="L75" s="47" t="str">
        <f t="shared" ca="1" si="20"/>
        <v/>
      </c>
      <c r="M75" s="47" t="str">
        <f t="shared" ca="1" si="20"/>
        <v/>
      </c>
      <c r="N75" s="47" t="str">
        <f t="shared" ca="1" si="20"/>
        <v/>
      </c>
      <c r="O75" s="47" t="str">
        <f t="shared" ca="1" si="20"/>
        <v/>
      </c>
      <c r="P75" s="47" t="str">
        <f t="shared" ca="1" si="20"/>
        <v/>
      </c>
      <c r="Q75" s="47" t="str">
        <f t="shared" ca="1" si="20"/>
        <v/>
      </c>
      <c r="R75" s="47" t="str">
        <f t="shared" ca="1" si="20"/>
        <v/>
      </c>
      <c r="S75" s="47" t="str">
        <f t="shared" ca="1" si="20"/>
        <v/>
      </c>
      <c r="T75" s="47" t="str">
        <f t="shared" ca="1" si="20"/>
        <v/>
      </c>
      <c r="U75" s="47" t="str">
        <f t="shared" ca="1" si="20"/>
        <v/>
      </c>
      <c r="V75" s="47" t="str">
        <f t="shared" ca="1" si="21"/>
        <v/>
      </c>
      <c r="W75" s="47" t="str">
        <f t="shared" ca="1" si="21"/>
        <v/>
      </c>
      <c r="X75" s="47" t="str">
        <f t="shared" ca="1" si="21"/>
        <v/>
      </c>
      <c r="Y75" s="47" t="str">
        <f t="shared" ca="1" si="21"/>
        <v/>
      </c>
      <c r="Z75" s="47" t="str">
        <f t="shared" ca="1" si="21"/>
        <v/>
      </c>
      <c r="AA75" s="47" t="str">
        <f t="shared" ca="1" si="21"/>
        <v/>
      </c>
      <c r="AB75" s="47" t="str">
        <f t="shared" ca="1" si="21"/>
        <v/>
      </c>
      <c r="AC75" s="47" t="str">
        <f t="shared" ca="1" si="21"/>
        <v/>
      </c>
    </row>
    <row r="76" spans="1:29" x14ac:dyDescent="0.3">
      <c r="A76" s="5">
        <f t="shared" si="3"/>
        <v>66</v>
      </c>
      <c r="B76" s="45" t="str">
        <f t="shared" ca="1" si="19"/>
        <v/>
      </c>
      <c r="C76" s="46" t="str">
        <f t="shared" ca="1" si="19"/>
        <v/>
      </c>
      <c r="D76" s="46" t="str">
        <f t="shared" ca="1" si="19"/>
        <v/>
      </c>
      <c r="E76" s="45" t="str">
        <f t="shared" ca="1" si="19"/>
        <v/>
      </c>
      <c r="F76" s="46" t="str">
        <f t="shared" ca="1" si="19"/>
        <v/>
      </c>
      <c r="G76" s="46" t="str">
        <f t="shared" ca="1" si="19"/>
        <v/>
      </c>
      <c r="H76" s="46" t="str">
        <f t="shared" ca="1" si="19"/>
        <v/>
      </c>
      <c r="I76" s="46" t="str">
        <f t="shared" ca="1" si="19"/>
        <v/>
      </c>
      <c r="J76" s="47" t="str">
        <f t="shared" ca="1" si="19"/>
        <v/>
      </c>
      <c r="K76" s="47" t="str">
        <f t="shared" ca="1" si="19"/>
        <v/>
      </c>
      <c r="L76" s="47" t="str">
        <f t="shared" ca="1" si="20"/>
        <v/>
      </c>
      <c r="M76" s="47" t="str">
        <f t="shared" ca="1" si="20"/>
        <v/>
      </c>
      <c r="N76" s="47" t="str">
        <f t="shared" ca="1" si="20"/>
        <v/>
      </c>
      <c r="O76" s="47" t="str">
        <f t="shared" ca="1" si="20"/>
        <v/>
      </c>
      <c r="P76" s="47" t="str">
        <f t="shared" ca="1" si="20"/>
        <v/>
      </c>
      <c r="Q76" s="47" t="str">
        <f t="shared" ca="1" si="20"/>
        <v/>
      </c>
      <c r="R76" s="47" t="str">
        <f t="shared" ca="1" si="20"/>
        <v/>
      </c>
      <c r="S76" s="47" t="str">
        <f t="shared" ca="1" si="20"/>
        <v/>
      </c>
      <c r="T76" s="47" t="str">
        <f t="shared" ca="1" si="20"/>
        <v/>
      </c>
      <c r="U76" s="47" t="str">
        <f t="shared" ca="1" si="20"/>
        <v/>
      </c>
      <c r="V76" s="47" t="str">
        <f t="shared" ca="1" si="21"/>
        <v/>
      </c>
      <c r="W76" s="47" t="str">
        <f t="shared" ca="1" si="21"/>
        <v/>
      </c>
      <c r="X76" s="47" t="str">
        <f t="shared" ca="1" si="21"/>
        <v/>
      </c>
      <c r="Y76" s="47" t="str">
        <f t="shared" ca="1" si="21"/>
        <v/>
      </c>
      <c r="Z76" s="47" t="str">
        <f t="shared" ca="1" si="21"/>
        <v/>
      </c>
      <c r="AA76" s="47" t="str">
        <f t="shared" ca="1" si="21"/>
        <v/>
      </c>
      <c r="AB76" s="47" t="str">
        <f t="shared" ca="1" si="21"/>
        <v/>
      </c>
      <c r="AC76" s="47" t="str">
        <f t="shared" ca="1" si="21"/>
        <v/>
      </c>
    </row>
    <row r="77" spans="1:29" x14ac:dyDescent="0.3">
      <c r="A77" s="5">
        <f t="shared" ref="A77:A140" si="22">A76+1</f>
        <v>67</v>
      </c>
      <c r="B77" s="45" t="str">
        <f t="shared" ca="1" si="19"/>
        <v/>
      </c>
      <c r="C77" s="46" t="str">
        <f t="shared" ca="1" si="19"/>
        <v/>
      </c>
      <c r="D77" s="46" t="str">
        <f t="shared" ca="1" si="19"/>
        <v/>
      </c>
      <c r="E77" s="45" t="str">
        <f t="shared" ca="1" si="19"/>
        <v/>
      </c>
      <c r="F77" s="46" t="str">
        <f t="shared" ca="1" si="19"/>
        <v/>
      </c>
      <c r="G77" s="46" t="str">
        <f t="shared" ca="1" si="19"/>
        <v/>
      </c>
      <c r="H77" s="46" t="str">
        <f t="shared" ca="1" si="19"/>
        <v/>
      </c>
      <c r="I77" s="46" t="str">
        <f t="shared" ca="1" si="19"/>
        <v/>
      </c>
      <c r="J77" s="47" t="str">
        <f t="shared" ca="1" si="19"/>
        <v/>
      </c>
      <c r="K77" s="47" t="str">
        <f t="shared" ca="1" si="19"/>
        <v/>
      </c>
      <c r="L77" s="47" t="str">
        <f t="shared" ca="1" si="20"/>
        <v/>
      </c>
      <c r="M77" s="47" t="str">
        <f t="shared" ca="1" si="20"/>
        <v/>
      </c>
      <c r="N77" s="47" t="str">
        <f t="shared" ca="1" si="20"/>
        <v/>
      </c>
      <c r="O77" s="47" t="str">
        <f t="shared" ca="1" si="20"/>
        <v/>
      </c>
      <c r="P77" s="47" t="str">
        <f t="shared" ca="1" si="20"/>
        <v/>
      </c>
      <c r="Q77" s="47" t="str">
        <f t="shared" ca="1" si="20"/>
        <v/>
      </c>
      <c r="R77" s="47" t="str">
        <f t="shared" ca="1" si="20"/>
        <v/>
      </c>
      <c r="S77" s="47" t="str">
        <f t="shared" ca="1" si="20"/>
        <v/>
      </c>
      <c r="T77" s="47" t="str">
        <f t="shared" ca="1" si="20"/>
        <v/>
      </c>
      <c r="U77" s="47" t="str">
        <f t="shared" ca="1" si="20"/>
        <v/>
      </c>
      <c r="V77" s="47" t="str">
        <f t="shared" ca="1" si="21"/>
        <v/>
      </c>
      <c r="W77" s="47" t="str">
        <f t="shared" ca="1" si="21"/>
        <v/>
      </c>
      <c r="X77" s="47" t="str">
        <f t="shared" ca="1" si="21"/>
        <v/>
      </c>
      <c r="Y77" s="47" t="str">
        <f t="shared" ca="1" si="21"/>
        <v/>
      </c>
      <c r="Z77" s="47" t="str">
        <f t="shared" ca="1" si="21"/>
        <v/>
      </c>
      <c r="AA77" s="47" t="str">
        <f t="shared" ca="1" si="21"/>
        <v/>
      </c>
      <c r="AB77" s="47" t="str">
        <f t="shared" ca="1" si="21"/>
        <v/>
      </c>
      <c r="AC77" s="47" t="str">
        <f t="shared" ca="1" si="21"/>
        <v/>
      </c>
    </row>
    <row r="78" spans="1:29" x14ac:dyDescent="0.3">
      <c r="A78" s="5">
        <f t="shared" si="22"/>
        <v>68</v>
      </c>
      <c r="B78" s="45" t="str">
        <f t="shared" ca="1" si="19"/>
        <v/>
      </c>
      <c r="C78" s="46" t="str">
        <f t="shared" ca="1" si="19"/>
        <v/>
      </c>
      <c r="D78" s="46" t="str">
        <f t="shared" ca="1" si="19"/>
        <v/>
      </c>
      <c r="E78" s="45" t="str">
        <f t="shared" ca="1" si="19"/>
        <v/>
      </c>
      <c r="F78" s="46" t="str">
        <f t="shared" ca="1" si="19"/>
        <v/>
      </c>
      <c r="G78" s="46" t="str">
        <f t="shared" ca="1" si="19"/>
        <v/>
      </c>
      <c r="H78" s="46" t="str">
        <f t="shared" ca="1" si="19"/>
        <v/>
      </c>
      <c r="I78" s="46" t="str">
        <f t="shared" ca="1" si="19"/>
        <v/>
      </c>
      <c r="J78" s="47" t="str">
        <f t="shared" ca="1" si="19"/>
        <v/>
      </c>
      <c r="K78" s="47" t="str">
        <f t="shared" ca="1" si="19"/>
        <v/>
      </c>
      <c r="L78" s="47" t="str">
        <f t="shared" ca="1" si="20"/>
        <v/>
      </c>
      <c r="M78" s="47" t="str">
        <f t="shared" ca="1" si="20"/>
        <v/>
      </c>
      <c r="N78" s="47" t="str">
        <f t="shared" ca="1" si="20"/>
        <v/>
      </c>
      <c r="O78" s="47" t="str">
        <f t="shared" ca="1" si="20"/>
        <v/>
      </c>
      <c r="P78" s="47" t="str">
        <f t="shared" ca="1" si="20"/>
        <v/>
      </c>
      <c r="Q78" s="47" t="str">
        <f t="shared" ca="1" si="20"/>
        <v/>
      </c>
      <c r="R78" s="47" t="str">
        <f t="shared" ca="1" si="20"/>
        <v/>
      </c>
      <c r="S78" s="47" t="str">
        <f t="shared" ca="1" si="20"/>
        <v/>
      </c>
      <c r="T78" s="47" t="str">
        <f t="shared" ca="1" si="20"/>
        <v/>
      </c>
      <c r="U78" s="47" t="str">
        <f t="shared" ca="1" si="20"/>
        <v/>
      </c>
      <c r="V78" s="47" t="str">
        <f t="shared" ca="1" si="21"/>
        <v/>
      </c>
      <c r="W78" s="47" t="str">
        <f t="shared" ca="1" si="21"/>
        <v/>
      </c>
      <c r="X78" s="47" t="str">
        <f t="shared" ca="1" si="21"/>
        <v/>
      </c>
      <c r="Y78" s="47" t="str">
        <f t="shared" ca="1" si="21"/>
        <v/>
      </c>
      <c r="Z78" s="47" t="str">
        <f t="shared" ca="1" si="21"/>
        <v/>
      </c>
      <c r="AA78" s="47" t="str">
        <f t="shared" ca="1" si="21"/>
        <v/>
      </c>
      <c r="AB78" s="47" t="str">
        <f t="shared" ca="1" si="21"/>
        <v/>
      </c>
      <c r="AC78" s="47" t="str">
        <f t="shared" ca="1" si="21"/>
        <v/>
      </c>
    </row>
    <row r="79" spans="1:29" x14ac:dyDescent="0.3">
      <c r="A79" s="5">
        <f t="shared" si="22"/>
        <v>69</v>
      </c>
      <c r="B79" s="45" t="str">
        <f t="shared" ca="1" si="19"/>
        <v/>
      </c>
      <c r="C79" s="46" t="str">
        <f t="shared" ca="1" si="19"/>
        <v/>
      </c>
      <c r="D79" s="46" t="str">
        <f t="shared" ca="1" si="19"/>
        <v/>
      </c>
      <c r="E79" s="45" t="str">
        <f t="shared" ca="1" si="19"/>
        <v/>
      </c>
      <c r="F79" s="46" t="str">
        <f t="shared" ca="1" si="19"/>
        <v/>
      </c>
      <c r="G79" s="46" t="str">
        <f t="shared" ca="1" si="19"/>
        <v/>
      </c>
      <c r="H79" s="46" t="str">
        <f t="shared" ca="1" si="19"/>
        <v/>
      </c>
      <c r="I79" s="46" t="str">
        <f t="shared" ca="1" si="19"/>
        <v/>
      </c>
      <c r="J79" s="47" t="str">
        <f t="shared" ca="1" si="19"/>
        <v/>
      </c>
      <c r="K79" s="47" t="str">
        <f t="shared" ca="1" si="19"/>
        <v/>
      </c>
      <c r="L79" s="47" t="str">
        <f t="shared" ca="1" si="20"/>
        <v/>
      </c>
      <c r="M79" s="47" t="str">
        <f t="shared" ca="1" si="20"/>
        <v/>
      </c>
      <c r="N79" s="47" t="str">
        <f t="shared" ca="1" si="20"/>
        <v/>
      </c>
      <c r="O79" s="47" t="str">
        <f t="shared" ca="1" si="20"/>
        <v/>
      </c>
      <c r="P79" s="47" t="str">
        <f t="shared" ca="1" si="20"/>
        <v/>
      </c>
      <c r="Q79" s="47" t="str">
        <f t="shared" ca="1" si="20"/>
        <v/>
      </c>
      <c r="R79" s="47" t="str">
        <f t="shared" ca="1" si="20"/>
        <v/>
      </c>
      <c r="S79" s="47" t="str">
        <f t="shared" ca="1" si="20"/>
        <v/>
      </c>
      <c r="T79" s="47" t="str">
        <f t="shared" ca="1" si="20"/>
        <v/>
      </c>
      <c r="U79" s="47" t="str">
        <f t="shared" ca="1" si="20"/>
        <v/>
      </c>
      <c r="V79" s="47" t="str">
        <f t="shared" ca="1" si="21"/>
        <v/>
      </c>
      <c r="W79" s="47" t="str">
        <f t="shared" ca="1" si="21"/>
        <v/>
      </c>
      <c r="X79" s="47" t="str">
        <f t="shared" ca="1" si="21"/>
        <v/>
      </c>
      <c r="Y79" s="47" t="str">
        <f t="shared" ca="1" si="21"/>
        <v/>
      </c>
      <c r="Z79" s="47" t="str">
        <f t="shared" ca="1" si="21"/>
        <v/>
      </c>
      <c r="AA79" s="47" t="str">
        <f t="shared" ca="1" si="21"/>
        <v/>
      </c>
      <c r="AB79" s="47" t="str">
        <f t="shared" ca="1" si="21"/>
        <v/>
      </c>
      <c r="AC79" s="47" t="str">
        <f t="shared" ca="1" si="21"/>
        <v/>
      </c>
    </row>
    <row r="80" spans="1:29" x14ac:dyDescent="0.3">
      <c r="A80" s="5">
        <f t="shared" si="22"/>
        <v>70</v>
      </c>
      <c r="B80" s="45" t="str">
        <f t="shared" ca="1" si="19"/>
        <v/>
      </c>
      <c r="C80" s="46" t="str">
        <f t="shared" ca="1" si="19"/>
        <v/>
      </c>
      <c r="D80" s="46" t="str">
        <f t="shared" ca="1" si="19"/>
        <v/>
      </c>
      <c r="E80" s="45" t="str">
        <f t="shared" ca="1" si="19"/>
        <v/>
      </c>
      <c r="F80" s="46" t="str">
        <f t="shared" ca="1" si="19"/>
        <v/>
      </c>
      <c r="G80" s="46" t="str">
        <f t="shared" ca="1" si="19"/>
        <v/>
      </c>
      <c r="H80" s="46" t="str">
        <f t="shared" ca="1" si="19"/>
        <v/>
      </c>
      <c r="I80" s="46" t="str">
        <f t="shared" ca="1" si="19"/>
        <v/>
      </c>
      <c r="J80" s="47" t="str">
        <f t="shared" ca="1" si="19"/>
        <v/>
      </c>
      <c r="K80" s="47" t="str">
        <f t="shared" ca="1" si="19"/>
        <v/>
      </c>
      <c r="L80" s="47" t="str">
        <f t="shared" ca="1" si="20"/>
        <v/>
      </c>
      <c r="M80" s="47" t="str">
        <f t="shared" ca="1" si="20"/>
        <v/>
      </c>
      <c r="N80" s="47" t="str">
        <f t="shared" ca="1" si="20"/>
        <v/>
      </c>
      <c r="O80" s="47" t="str">
        <f t="shared" ca="1" si="20"/>
        <v/>
      </c>
      <c r="P80" s="47" t="str">
        <f t="shared" ca="1" si="20"/>
        <v/>
      </c>
      <c r="Q80" s="47" t="str">
        <f t="shared" ca="1" si="20"/>
        <v/>
      </c>
      <c r="R80" s="47" t="str">
        <f t="shared" ca="1" si="20"/>
        <v/>
      </c>
      <c r="S80" s="47" t="str">
        <f t="shared" ca="1" si="20"/>
        <v/>
      </c>
      <c r="T80" s="47" t="str">
        <f t="shared" ca="1" si="20"/>
        <v/>
      </c>
      <c r="U80" s="47" t="str">
        <f t="shared" ca="1" si="20"/>
        <v/>
      </c>
      <c r="V80" s="47" t="str">
        <f t="shared" ca="1" si="21"/>
        <v/>
      </c>
      <c r="W80" s="47" t="str">
        <f t="shared" ca="1" si="21"/>
        <v/>
      </c>
      <c r="X80" s="47" t="str">
        <f t="shared" ca="1" si="21"/>
        <v/>
      </c>
      <c r="Y80" s="47" t="str">
        <f t="shared" ca="1" si="21"/>
        <v/>
      </c>
      <c r="Z80" s="47" t="str">
        <f t="shared" ca="1" si="21"/>
        <v/>
      </c>
      <c r="AA80" s="47" t="str">
        <f t="shared" ca="1" si="21"/>
        <v/>
      </c>
      <c r="AB80" s="47" t="str">
        <f t="shared" ca="1" si="21"/>
        <v/>
      </c>
      <c r="AC80" s="47" t="str">
        <f t="shared" ca="1" si="21"/>
        <v/>
      </c>
    </row>
    <row r="81" spans="1:29" x14ac:dyDescent="0.3">
      <c r="A81" s="5">
        <f t="shared" si="22"/>
        <v>71</v>
      </c>
      <c r="B81" s="45" t="str">
        <f t="shared" ca="1" si="19"/>
        <v/>
      </c>
      <c r="C81" s="46" t="str">
        <f t="shared" ca="1" si="19"/>
        <v/>
      </c>
      <c r="D81" s="46" t="str">
        <f t="shared" ca="1" si="19"/>
        <v/>
      </c>
      <c r="E81" s="45" t="str">
        <f t="shared" ca="1" si="19"/>
        <v/>
      </c>
      <c r="F81" s="46" t="str">
        <f t="shared" ca="1" si="19"/>
        <v/>
      </c>
      <c r="G81" s="46" t="str">
        <f t="shared" ca="1" si="19"/>
        <v/>
      </c>
      <c r="H81" s="46" t="str">
        <f t="shared" ca="1" si="19"/>
        <v/>
      </c>
      <c r="I81" s="46" t="str">
        <f t="shared" ca="1" si="19"/>
        <v/>
      </c>
      <c r="J81" s="47" t="str">
        <f t="shared" ca="1" si="19"/>
        <v/>
      </c>
      <c r="K81" s="47" t="str">
        <f t="shared" ca="1" si="19"/>
        <v/>
      </c>
      <c r="L81" s="47" t="str">
        <f t="shared" ca="1" si="20"/>
        <v/>
      </c>
      <c r="M81" s="47" t="str">
        <f t="shared" ca="1" si="20"/>
        <v/>
      </c>
      <c r="N81" s="47" t="str">
        <f t="shared" ca="1" si="20"/>
        <v/>
      </c>
      <c r="O81" s="47" t="str">
        <f t="shared" ca="1" si="20"/>
        <v/>
      </c>
      <c r="P81" s="47" t="str">
        <f t="shared" ca="1" si="20"/>
        <v/>
      </c>
      <c r="Q81" s="47" t="str">
        <f t="shared" ca="1" si="20"/>
        <v/>
      </c>
      <c r="R81" s="47" t="str">
        <f t="shared" ca="1" si="20"/>
        <v/>
      </c>
      <c r="S81" s="47" t="str">
        <f t="shared" ca="1" si="20"/>
        <v/>
      </c>
      <c r="T81" s="47" t="str">
        <f t="shared" ca="1" si="20"/>
        <v/>
      </c>
      <c r="U81" s="47" t="str">
        <f t="shared" ca="1" si="20"/>
        <v/>
      </c>
      <c r="V81" s="47" t="str">
        <f t="shared" ca="1" si="21"/>
        <v/>
      </c>
      <c r="W81" s="47" t="str">
        <f t="shared" ca="1" si="21"/>
        <v/>
      </c>
      <c r="X81" s="47" t="str">
        <f t="shared" ca="1" si="21"/>
        <v/>
      </c>
      <c r="Y81" s="47" t="str">
        <f t="shared" ca="1" si="21"/>
        <v/>
      </c>
      <c r="Z81" s="47" t="str">
        <f t="shared" ca="1" si="21"/>
        <v/>
      </c>
      <c r="AA81" s="47" t="str">
        <f t="shared" ca="1" si="21"/>
        <v/>
      </c>
      <c r="AB81" s="47" t="str">
        <f t="shared" ca="1" si="21"/>
        <v/>
      </c>
      <c r="AC81" s="47" t="str">
        <f t="shared" ca="1" si="21"/>
        <v/>
      </c>
    </row>
    <row r="82" spans="1:29" x14ac:dyDescent="0.3">
      <c r="A82" s="5">
        <f t="shared" si="22"/>
        <v>72</v>
      </c>
      <c r="B82" s="45" t="str">
        <f t="shared" ref="B82:K91" ca="1" si="23">IFERROR(IF(INDIRECT("raw!R"&amp;$A82&amp;"C"&amp;B$10,FALSE)&lt;&gt;"",INDIRECT("raw!R"&amp;$A82&amp;"C"&amp;B$10,FALSE),""),"")</f>
        <v/>
      </c>
      <c r="C82" s="46" t="str">
        <f t="shared" ca="1" si="23"/>
        <v/>
      </c>
      <c r="D82" s="46" t="str">
        <f t="shared" ca="1" si="23"/>
        <v/>
      </c>
      <c r="E82" s="45" t="str">
        <f t="shared" ca="1" si="23"/>
        <v/>
      </c>
      <c r="F82" s="46" t="str">
        <f t="shared" ca="1" si="23"/>
        <v/>
      </c>
      <c r="G82" s="46" t="str">
        <f t="shared" ca="1" si="23"/>
        <v/>
      </c>
      <c r="H82" s="46" t="str">
        <f t="shared" ca="1" si="23"/>
        <v/>
      </c>
      <c r="I82" s="46" t="str">
        <f t="shared" ca="1" si="23"/>
        <v/>
      </c>
      <c r="J82" s="47" t="str">
        <f t="shared" ca="1" si="23"/>
        <v/>
      </c>
      <c r="K82" s="47" t="str">
        <f t="shared" ca="1" si="23"/>
        <v/>
      </c>
      <c r="L82" s="47" t="str">
        <f t="shared" ref="L82:U91" ca="1" si="24">IFERROR(IF(INDIRECT("raw!R"&amp;$A82&amp;"C"&amp;L$10,FALSE)&lt;&gt;"",INDIRECT("raw!R"&amp;$A82&amp;"C"&amp;L$10,FALSE),""),"")</f>
        <v/>
      </c>
      <c r="M82" s="47" t="str">
        <f t="shared" ca="1" si="24"/>
        <v/>
      </c>
      <c r="N82" s="47" t="str">
        <f t="shared" ca="1" si="24"/>
        <v/>
      </c>
      <c r="O82" s="47" t="str">
        <f t="shared" ca="1" si="24"/>
        <v/>
      </c>
      <c r="P82" s="47" t="str">
        <f t="shared" ca="1" si="24"/>
        <v/>
      </c>
      <c r="Q82" s="47" t="str">
        <f t="shared" ca="1" si="24"/>
        <v/>
      </c>
      <c r="R82" s="47" t="str">
        <f t="shared" ca="1" si="24"/>
        <v/>
      </c>
      <c r="S82" s="47" t="str">
        <f t="shared" ca="1" si="24"/>
        <v/>
      </c>
      <c r="T82" s="47" t="str">
        <f t="shared" ca="1" si="24"/>
        <v/>
      </c>
      <c r="U82" s="47" t="str">
        <f t="shared" ca="1" si="24"/>
        <v/>
      </c>
      <c r="V82" s="47" t="str">
        <f t="shared" ref="V82:AC91" ca="1" si="25">IFERROR(IF(INDIRECT("raw!R"&amp;$A82&amp;"C"&amp;V$10,FALSE)&lt;&gt;"",INDIRECT("raw!R"&amp;$A82&amp;"C"&amp;V$10,FALSE),""),"")</f>
        <v/>
      </c>
      <c r="W82" s="47" t="str">
        <f t="shared" ca="1" si="25"/>
        <v/>
      </c>
      <c r="X82" s="47" t="str">
        <f t="shared" ca="1" si="25"/>
        <v/>
      </c>
      <c r="Y82" s="47" t="str">
        <f t="shared" ca="1" si="25"/>
        <v/>
      </c>
      <c r="Z82" s="47" t="str">
        <f t="shared" ca="1" si="25"/>
        <v/>
      </c>
      <c r="AA82" s="47" t="str">
        <f t="shared" ca="1" si="25"/>
        <v/>
      </c>
      <c r="AB82" s="47" t="str">
        <f t="shared" ca="1" si="25"/>
        <v/>
      </c>
      <c r="AC82" s="47" t="str">
        <f t="shared" ca="1" si="25"/>
        <v/>
      </c>
    </row>
    <row r="83" spans="1:29" x14ac:dyDescent="0.3">
      <c r="A83" s="5">
        <f t="shared" si="22"/>
        <v>73</v>
      </c>
      <c r="B83" s="45" t="str">
        <f t="shared" ca="1" si="23"/>
        <v/>
      </c>
      <c r="C83" s="46" t="str">
        <f t="shared" ca="1" si="23"/>
        <v/>
      </c>
      <c r="D83" s="46" t="str">
        <f t="shared" ca="1" si="23"/>
        <v/>
      </c>
      <c r="E83" s="45" t="str">
        <f t="shared" ca="1" si="23"/>
        <v/>
      </c>
      <c r="F83" s="46" t="str">
        <f t="shared" ca="1" si="23"/>
        <v/>
      </c>
      <c r="G83" s="46" t="str">
        <f t="shared" ca="1" si="23"/>
        <v/>
      </c>
      <c r="H83" s="46" t="str">
        <f t="shared" ca="1" si="23"/>
        <v/>
      </c>
      <c r="I83" s="46" t="str">
        <f t="shared" ca="1" si="23"/>
        <v/>
      </c>
      <c r="J83" s="47" t="str">
        <f t="shared" ca="1" si="23"/>
        <v/>
      </c>
      <c r="K83" s="47" t="str">
        <f t="shared" ca="1" si="23"/>
        <v/>
      </c>
      <c r="L83" s="47" t="str">
        <f t="shared" ca="1" si="24"/>
        <v/>
      </c>
      <c r="M83" s="47" t="str">
        <f t="shared" ca="1" si="24"/>
        <v/>
      </c>
      <c r="N83" s="47" t="str">
        <f t="shared" ca="1" si="24"/>
        <v/>
      </c>
      <c r="O83" s="47" t="str">
        <f t="shared" ca="1" si="24"/>
        <v/>
      </c>
      <c r="P83" s="47" t="str">
        <f t="shared" ca="1" si="24"/>
        <v/>
      </c>
      <c r="Q83" s="47" t="str">
        <f t="shared" ca="1" si="24"/>
        <v/>
      </c>
      <c r="R83" s="47" t="str">
        <f t="shared" ca="1" si="24"/>
        <v/>
      </c>
      <c r="S83" s="47" t="str">
        <f t="shared" ca="1" si="24"/>
        <v/>
      </c>
      <c r="T83" s="47" t="str">
        <f t="shared" ca="1" si="24"/>
        <v/>
      </c>
      <c r="U83" s="47" t="str">
        <f t="shared" ca="1" si="24"/>
        <v/>
      </c>
      <c r="V83" s="47" t="str">
        <f t="shared" ca="1" si="25"/>
        <v/>
      </c>
      <c r="W83" s="47" t="str">
        <f t="shared" ca="1" si="25"/>
        <v/>
      </c>
      <c r="X83" s="47" t="str">
        <f t="shared" ca="1" si="25"/>
        <v/>
      </c>
      <c r="Y83" s="47" t="str">
        <f t="shared" ca="1" si="25"/>
        <v/>
      </c>
      <c r="Z83" s="47" t="str">
        <f t="shared" ca="1" si="25"/>
        <v/>
      </c>
      <c r="AA83" s="47" t="str">
        <f t="shared" ca="1" si="25"/>
        <v/>
      </c>
      <c r="AB83" s="47" t="str">
        <f t="shared" ca="1" si="25"/>
        <v/>
      </c>
      <c r="AC83" s="47" t="str">
        <f t="shared" ca="1" si="25"/>
        <v/>
      </c>
    </row>
    <row r="84" spans="1:29" x14ac:dyDescent="0.3">
      <c r="A84" s="5">
        <f t="shared" si="22"/>
        <v>74</v>
      </c>
      <c r="B84" s="45" t="str">
        <f t="shared" ca="1" si="23"/>
        <v/>
      </c>
      <c r="C84" s="46" t="str">
        <f t="shared" ca="1" si="23"/>
        <v/>
      </c>
      <c r="D84" s="46" t="str">
        <f t="shared" ca="1" si="23"/>
        <v/>
      </c>
      <c r="E84" s="45" t="str">
        <f t="shared" ca="1" si="23"/>
        <v/>
      </c>
      <c r="F84" s="46" t="str">
        <f t="shared" ca="1" si="23"/>
        <v/>
      </c>
      <c r="G84" s="46" t="str">
        <f t="shared" ca="1" si="23"/>
        <v/>
      </c>
      <c r="H84" s="46" t="str">
        <f t="shared" ca="1" si="23"/>
        <v/>
      </c>
      <c r="I84" s="46" t="str">
        <f t="shared" ca="1" si="23"/>
        <v/>
      </c>
      <c r="J84" s="47" t="str">
        <f t="shared" ca="1" si="23"/>
        <v/>
      </c>
      <c r="K84" s="47" t="str">
        <f t="shared" ca="1" si="23"/>
        <v/>
      </c>
      <c r="L84" s="47" t="str">
        <f t="shared" ca="1" si="24"/>
        <v/>
      </c>
      <c r="M84" s="47" t="str">
        <f t="shared" ca="1" si="24"/>
        <v/>
      </c>
      <c r="N84" s="47" t="str">
        <f t="shared" ca="1" si="24"/>
        <v/>
      </c>
      <c r="O84" s="47" t="str">
        <f t="shared" ca="1" si="24"/>
        <v/>
      </c>
      <c r="P84" s="47" t="str">
        <f t="shared" ca="1" si="24"/>
        <v/>
      </c>
      <c r="Q84" s="47" t="str">
        <f t="shared" ca="1" si="24"/>
        <v/>
      </c>
      <c r="R84" s="47" t="str">
        <f t="shared" ca="1" si="24"/>
        <v/>
      </c>
      <c r="S84" s="47" t="str">
        <f t="shared" ca="1" si="24"/>
        <v/>
      </c>
      <c r="T84" s="47" t="str">
        <f t="shared" ca="1" si="24"/>
        <v/>
      </c>
      <c r="U84" s="47" t="str">
        <f t="shared" ca="1" si="24"/>
        <v/>
      </c>
      <c r="V84" s="47" t="str">
        <f t="shared" ca="1" si="25"/>
        <v/>
      </c>
      <c r="W84" s="47" t="str">
        <f t="shared" ca="1" si="25"/>
        <v/>
      </c>
      <c r="X84" s="47" t="str">
        <f t="shared" ca="1" si="25"/>
        <v/>
      </c>
      <c r="Y84" s="47" t="str">
        <f t="shared" ca="1" si="25"/>
        <v/>
      </c>
      <c r="Z84" s="47" t="str">
        <f t="shared" ca="1" si="25"/>
        <v/>
      </c>
      <c r="AA84" s="47" t="str">
        <f t="shared" ca="1" si="25"/>
        <v/>
      </c>
      <c r="AB84" s="47" t="str">
        <f t="shared" ca="1" si="25"/>
        <v/>
      </c>
      <c r="AC84" s="47" t="str">
        <f t="shared" ca="1" si="25"/>
        <v/>
      </c>
    </row>
    <row r="85" spans="1:29" x14ac:dyDescent="0.3">
      <c r="A85" s="5">
        <f t="shared" si="22"/>
        <v>75</v>
      </c>
      <c r="B85" s="45" t="str">
        <f t="shared" ca="1" si="23"/>
        <v/>
      </c>
      <c r="C85" s="46" t="str">
        <f t="shared" ca="1" si="23"/>
        <v/>
      </c>
      <c r="D85" s="46" t="str">
        <f t="shared" ca="1" si="23"/>
        <v/>
      </c>
      <c r="E85" s="45" t="str">
        <f t="shared" ca="1" si="23"/>
        <v/>
      </c>
      <c r="F85" s="46" t="str">
        <f t="shared" ca="1" si="23"/>
        <v/>
      </c>
      <c r="G85" s="46" t="str">
        <f t="shared" ca="1" si="23"/>
        <v/>
      </c>
      <c r="H85" s="46" t="str">
        <f t="shared" ca="1" si="23"/>
        <v/>
      </c>
      <c r="I85" s="46" t="str">
        <f t="shared" ca="1" si="23"/>
        <v/>
      </c>
      <c r="J85" s="47" t="str">
        <f t="shared" ca="1" si="23"/>
        <v/>
      </c>
      <c r="K85" s="47" t="str">
        <f t="shared" ca="1" si="23"/>
        <v/>
      </c>
      <c r="L85" s="47" t="str">
        <f t="shared" ca="1" si="24"/>
        <v/>
      </c>
      <c r="M85" s="47" t="str">
        <f t="shared" ca="1" si="24"/>
        <v/>
      </c>
      <c r="N85" s="47" t="str">
        <f t="shared" ca="1" si="24"/>
        <v/>
      </c>
      <c r="O85" s="47" t="str">
        <f t="shared" ca="1" si="24"/>
        <v/>
      </c>
      <c r="P85" s="47" t="str">
        <f t="shared" ca="1" si="24"/>
        <v/>
      </c>
      <c r="Q85" s="47" t="str">
        <f t="shared" ca="1" si="24"/>
        <v/>
      </c>
      <c r="R85" s="47" t="str">
        <f t="shared" ca="1" si="24"/>
        <v/>
      </c>
      <c r="S85" s="47" t="str">
        <f t="shared" ca="1" si="24"/>
        <v/>
      </c>
      <c r="T85" s="47" t="str">
        <f t="shared" ca="1" si="24"/>
        <v/>
      </c>
      <c r="U85" s="47" t="str">
        <f t="shared" ca="1" si="24"/>
        <v/>
      </c>
      <c r="V85" s="47" t="str">
        <f t="shared" ca="1" si="25"/>
        <v/>
      </c>
      <c r="W85" s="47" t="str">
        <f t="shared" ca="1" si="25"/>
        <v/>
      </c>
      <c r="X85" s="47" t="str">
        <f t="shared" ca="1" si="25"/>
        <v/>
      </c>
      <c r="Y85" s="47" t="str">
        <f t="shared" ca="1" si="25"/>
        <v/>
      </c>
      <c r="Z85" s="47" t="str">
        <f t="shared" ca="1" si="25"/>
        <v/>
      </c>
      <c r="AA85" s="47" t="str">
        <f t="shared" ca="1" si="25"/>
        <v/>
      </c>
      <c r="AB85" s="47" t="str">
        <f t="shared" ca="1" si="25"/>
        <v/>
      </c>
      <c r="AC85" s="47" t="str">
        <f t="shared" ca="1" si="25"/>
        <v/>
      </c>
    </row>
    <row r="86" spans="1:29" x14ac:dyDescent="0.3">
      <c r="A86" s="5">
        <f t="shared" si="22"/>
        <v>76</v>
      </c>
      <c r="B86" s="45" t="str">
        <f t="shared" ca="1" si="23"/>
        <v/>
      </c>
      <c r="C86" s="46" t="str">
        <f t="shared" ca="1" si="23"/>
        <v/>
      </c>
      <c r="D86" s="46" t="str">
        <f t="shared" ca="1" si="23"/>
        <v/>
      </c>
      <c r="E86" s="45" t="str">
        <f t="shared" ca="1" si="23"/>
        <v/>
      </c>
      <c r="F86" s="46" t="str">
        <f t="shared" ca="1" si="23"/>
        <v/>
      </c>
      <c r="G86" s="46" t="str">
        <f t="shared" ca="1" si="23"/>
        <v/>
      </c>
      <c r="H86" s="46" t="str">
        <f t="shared" ca="1" si="23"/>
        <v/>
      </c>
      <c r="I86" s="46" t="str">
        <f t="shared" ca="1" si="23"/>
        <v/>
      </c>
      <c r="J86" s="47" t="str">
        <f t="shared" ca="1" si="23"/>
        <v/>
      </c>
      <c r="K86" s="47" t="str">
        <f t="shared" ca="1" si="23"/>
        <v/>
      </c>
      <c r="L86" s="47" t="str">
        <f t="shared" ca="1" si="24"/>
        <v/>
      </c>
      <c r="M86" s="47" t="str">
        <f t="shared" ca="1" si="24"/>
        <v/>
      </c>
      <c r="N86" s="47" t="str">
        <f t="shared" ca="1" si="24"/>
        <v/>
      </c>
      <c r="O86" s="47" t="str">
        <f t="shared" ca="1" si="24"/>
        <v/>
      </c>
      <c r="P86" s="47" t="str">
        <f t="shared" ca="1" si="24"/>
        <v/>
      </c>
      <c r="Q86" s="47" t="str">
        <f t="shared" ca="1" si="24"/>
        <v/>
      </c>
      <c r="R86" s="47" t="str">
        <f t="shared" ca="1" si="24"/>
        <v/>
      </c>
      <c r="S86" s="47" t="str">
        <f t="shared" ca="1" si="24"/>
        <v/>
      </c>
      <c r="T86" s="47" t="str">
        <f t="shared" ca="1" si="24"/>
        <v/>
      </c>
      <c r="U86" s="47" t="str">
        <f t="shared" ca="1" si="24"/>
        <v/>
      </c>
      <c r="V86" s="47" t="str">
        <f t="shared" ca="1" si="25"/>
        <v/>
      </c>
      <c r="W86" s="47" t="str">
        <f t="shared" ca="1" si="25"/>
        <v/>
      </c>
      <c r="X86" s="47" t="str">
        <f t="shared" ca="1" si="25"/>
        <v/>
      </c>
      <c r="Y86" s="47" t="str">
        <f t="shared" ca="1" si="25"/>
        <v/>
      </c>
      <c r="Z86" s="47" t="str">
        <f t="shared" ca="1" si="25"/>
        <v/>
      </c>
      <c r="AA86" s="47" t="str">
        <f t="shared" ca="1" si="25"/>
        <v/>
      </c>
      <c r="AB86" s="47" t="str">
        <f t="shared" ca="1" si="25"/>
        <v/>
      </c>
      <c r="AC86" s="47" t="str">
        <f t="shared" ca="1" si="25"/>
        <v/>
      </c>
    </row>
    <row r="87" spans="1:29" x14ac:dyDescent="0.3">
      <c r="A87" s="5">
        <f t="shared" si="22"/>
        <v>77</v>
      </c>
      <c r="B87" s="45" t="str">
        <f t="shared" ca="1" si="23"/>
        <v/>
      </c>
      <c r="C87" s="46" t="str">
        <f t="shared" ca="1" si="23"/>
        <v/>
      </c>
      <c r="D87" s="46" t="str">
        <f t="shared" ca="1" si="23"/>
        <v/>
      </c>
      <c r="E87" s="45" t="str">
        <f t="shared" ca="1" si="23"/>
        <v/>
      </c>
      <c r="F87" s="46" t="str">
        <f t="shared" ca="1" si="23"/>
        <v/>
      </c>
      <c r="G87" s="46" t="str">
        <f t="shared" ca="1" si="23"/>
        <v/>
      </c>
      <c r="H87" s="46" t="str">
        <f t="shared" ca="1" si="23"/>
        <v/>
      </c>
      <c r="I87" s="46" t="str">
        <f t="shared" ca="1" si="23"/>
        <v/>
      </c>
      <c r="J87" s="47" t="str">
        <f t="shared" ca="1" si="23"/>
        <v/>
      </c>
      <c r="K87" s="47" t="str">
        <f t="shared" ca="1" si="23"/>
        <v/>
      </c>
      <c r="L87" s="47" t="str">
        <f t="shared" ca="1" si="24"/>
        <v/>
      </c>
      <c r="M87" s="47" t="str">
        <f t="shared" ca="1" si="24"/>
        <v/>
      </c>
      <c r="N87" s="47" t="str">
        <f t="shared" ca="1" si="24"/>
        <v/>
      </c>
      <c r="O87" s="47" t="str">
        <f t="shared" ca="1" si="24"/>
        <v/>
      </c>
      <c r="P87" s="47" t="str">
        <f t="shared" ca="1" si="24"/>
        <v/>
      </c>
      <c r="Q87" s="47" t="str">
        <f t="shared" ca="1" si="24"/>
        <v/>
      </c>
      <c r="R87" s="47" t="str">
        <f t="shared" ca="1" si="24"/>
        <v/>
      </c>
      <c r="S87" s="47" t="str">
        <f t="shared" ca="1" si="24"/>
        <v/>
      </c>
      <c r="T87" s="47" t="str">
        <f t="shared" ca="1" si="24"/>
        <v/>
      </c>
      <c r="U87" s="47" t="str">
        <f t="shared" ca="1" si="24"/>
        <v/>
      </c>
      <c r="V87" s="47" t="str">
        <f t="shared" ca="1" si="25"/>
        <v/>
      </c>
      <c r="W87" s="47" t="str">
        <f t="shared" ca="1" si="25"/>
        <v/>
      </c>
      <c r="X87" s="47" t="str">
        <f t="shared" ca="1" si="25"/>
        <v/>
      </c>
      <c r="Y87" s="47" t="str">
        <f t="shared" ca="1" si="25"/>
        <v/>
      </c>
      <c r="Z87" s="47" t="str">
        <f t="shared" ca="1" si="25"/>
        <v/>
      </c>
      <c r="AA87" s="47" t="str">
        <f t="shared" ca="1" si="25"/>
        <v/>
      </c>
      <c r="AB87" s="47" t="str">
        <f t="shared" ca="1" si="25"/>
        <v/>
      </c>
      <c r="AC87" s="47" t="str">
        <f t="shared" ca="1" si="25"/>
        <v/>
      </c>
    </row>
    <row r="88" spans="1:29" x14ac:dyDescent="0.3">
      <c r="A88" s="5">
        <f t="shared" si="22"/>
        <v>78</v>
      </c>
      <c r="B88" s="45" t="str">
        <f t="shared" ca="1" si="23"/>
        <v/>
      </c>
      <c r="C88" s="46" t="str">
        <f t="shared" ca="1" si="23"/>
        <v/>
      </c>
      <c r="D88" s="46" t="str">
        <f t="shared" ca="1" si="23"/>
        <v/>
      </c>
      <c r="E88" s="45" t="str">
        <f t="shared" ca="1" si="23"/>
        <v/>
      </c>
      <c r="F88" s="46" t="str">
        <f t="shared" ca="1" si="23"/>
        <v/>
      </c>
      <c r="G88" s="46" t="str">
        <f t="shared" ca="1" si="23"/>
        <v/>
      </c>
      <c r="H88" s="46" t="str">
        <f t="shared" ca="1" si="23"/>
        <v/>
      </c>
      <c r="I88" s="46" t="str">
        <f t="shared" ca="1" si="23"/>
        <v/>
      </c>
      <c r="J88" s="47" t="str">
        <f t="shared" ca="1" si="23"/>
        <v/>
      </c>
      <c r="K88" s="47" t="str">
        <f t="shared" ca="1" si="23"/>
        <v/>
      </c>
      <c r="L88" s="47" t="str">
        <f t="shared" ca="1" si="24"/>
        <v/>
      </c>
      <c r="M88" s="47" t="str">
        <f t="shared" ca="1" si="24"/>
        <v/>
      </c>
      <c r="N88" s="47" t="str">
        <f t="shared" ca="1" si="24"/>
        <v/>
      </c>
      <c r="O88" s="47" t="str">
        <f t="shared" ca="1" si="24"/>
        <v/>
      </c>
      <c r="P88" s="47" t="str">
        <f t="shared" ca="1" si="24"/>
        <v/>
      </c>
      <c r="Q88" s="47" t="str">
        <f t="shared" ca="1" si="24"/>
        <v/>
      </c>
      <c r="R88" s="47" t="str">
        <f t="shared" ca="1" si="24"/>
        <v/>
      </c>
      <c r="S88" s="47" t="str">
        <f t="shared" ca="1" si="24"/>
        <v/>
      </c>
      <c r="T88" s="47" t="str">
        <f t="shared" ca="1" si="24"/>
        <v/>
      </c>
      <c r="U88" s="47" t="str">
        <f t="shared" ca="1" si="24"/>
        <v/>
      </c>
      <c r="V88" s="47" t="str">
        <f t="shared" ca="1" si="25"/>
        <v/>
      </c>
      <c r="W88" s="47" t="str">
        <f t="shared" ca="1" si="25"/>
        <v/>
      </c>
      <c r="X88" s="47" t="str">
        <f t="shared" ca="1" si="25"/>
        <v/>
      </c>
      <c r="Y88" s="47" t="str">
        <f t="shared" ca="1" si="25"/>
        <v/>
      </c>
      <c r="Z88" s="47" t="str">
        <f t="shared" ca="1" si="25"/>
        <v/>
      </c>
      <c r="AA88" s="47" t="str">
        <f t="shared" ca="1" si="25"/>
        <v/>
      </c>
      <c r="AB88" s="47" t="str">
        <f t="shared" ca="1" si="25"/>
        <v/>
      </c>
      <c r="AC88" s="47" t="str">
        <f t="shared" ca="1" si="25"/>
        <v/>
      </c>
    </row>
    <row r="89" spans="1:29" x14ac:dyDescent="0.3">
      <c r="A89" s="5">
        <f t="shared" si="22"/>
        <v>79</v>
      </c>
      <c r="B89" s="45" t="str">
        <f t="shared" ca="1" si="23"/>
        <v/>
      </c>
      <c r="C89" s="46" t="str">
        <f t="shared" ca="1" si="23"/>
        <v/>
      </c>
      <c r="D89" s="46" t="str">
        <f t="shared" ca="1" si="23"/>
        <v/>
      </c>
      <c r="E89" s="45" t="str">
        <f t="shared" ca="1" si="23"/>
        <v/>
      </c>
      <c r="F89" s="46" t="str">
        <f t="shared" ca="1" si="23"/>
        <v/>
      </c>
      <c r="G89" s="46" t="str">
        <f t="shared" ca="1" si="23"/>
        <v/>
      </c>
      <c r="H89" s="46" t="str">
        <f t="shared" ca="1" si="23"/>
        <v/>
      </c>
      <c r="I89" s="46" t="str">
        <f t="shared" ca="1" si="23"/>
        <v/>
      </c>
      <c r="J89" s="47" t="str">
        <f t="shared" ca="1" si="23"/>
        <v/>
      </c>
      <c r="K89" s="47" t="str">
        <f t="shared" ca="1" si="23"/>
        <v/>
      </c>
      <c r="L89" s="47" t="str">
        <f t="shared" ca="1" si="24"/>
        <v/>
      </c>
      <c r="M89" s="47" t="str">
        <f t="shared" ca="1" si="24"/>
        <v/>
      </c>
      <c r="N89" s="47" t="str">
        <f t="shared" ca="1" si="24"/>
        <v/>
      </c>
      <c r="O89" s="47" t="str">
        <f t="shared" ca="1" si="24"/>
        <v/>
      </c>
      <c r="P89" s="47" t="str">
        <f t="shared" ca="1" si="24"/>
        <v/>
      </c>
      <c r="Q89" s="47" t="str">
        <f t="shared" ca="1" si="24"/>
        <v/>
      </c>
      <c r="R89" s="47" t="str">
        <f t="shared" ca="1" si="24"/>
        <v/>
      </c>
      <c r="S89" s="47" t="str">
        <f t="shared" ca="1" si="24"/>
        <v/>
      </c>
      <c r="T89" s="47" t="str">
        <f t="shared" ca="1" si="24"/>
        <v/>
      </c>
      <c r="U89" s="47" t="str">
        <f t="shared" ca="1" si="24"/>
        <v/>
      </c>
      <c r="V89" s="47" t="str">
        <f t="shared" ca="1" si="25"/>
        <v/>
      </c>
      <c r="W89" s="47" t="str">
        <f t="shared" ca="1" si="25"/>
        <v/>
      </c>
      <c r="X89" s="47" t="str">
        <f t="shared" ca="1" si="25"/>
        <v/>
      </c>
      <c r="Y89" s="47" t="str">
        <f t="shared" ca="1" si="25"/>
        <v/>
      </c>
      <c r="Z89" s="47" t="str">
        <f t="shared" ca="1" si="25"/>
        <v/>
      </c>
      <c r="AA89" s="47" t="str">
        <f t="shared" ca="1" si="25"/>
        <v/>
      </c>
      <c r="AB89" s="47" t="str">
        <f t="shared" ca="1" si="25"/>
        <v/>
      </c>
      <c r="AC89" s="47" t="str">
        <f t="shared" ca="1" si="25"/>
        <v/>
      </c>
    </row>
    <row r="90" spans="1:29" x14ac:dyDescent="0.3">
      <c r="A90" s="5">
        <f t="shared" si="22"/>
        <v>80</v>
      </c>
      <c r="B90" s="45" t="str">
        <f t="shared" ca="1" si="23"/>
        <v/>
      </c>
      <c r="C90" s="46" t="str">
        <f t="shared" ca="1" si="23"/>
        <v/>
      </c>
      <c r="D90" s="46" t="str">
        <f t="shared" ca="1" si="23"/>
        <v/>
      </c>
      <c r="E90" s="45" t="str">
        <f t="shared" ca="1" si="23"/>
        <v/>
      </c>
      <c r="F90" s="46" t="str">
        <f t="shared" ca="1" si="23"/>
        <v/>
      </c>
      <c r="G90" s="46" t="str">
        <f t="shared" ca="1" si="23"/>
        <v/>
      </c>
      <c r="H90" s="46" t="str">
        <f t="shared" ca="1" si="23"/>
        <v/>
      </c>
      <c r="I90" s="46" t="str">
        <f t="shared" ca="1" si="23"/>
        <v/>
      </c>
      <c r="J90" s="47" t="str">
        <f t="shared" ca="1" si="23"/>
        <v/>
      </c>
      <c r="K90" s="47" t="str">
        <f t="shared" ca="1" si="23"/>
        <v/>
      </c>
      <c r="L90" s="47" t="str">
        <f t="shared" ca="1" si="24"/>
        <v/>
      </c>
      <c r="M90" s="47" t="str">
        <f t="shared" ca="1" si="24"/>
        <v/>
      </c>
      <c r="N90" s="47" t="str">
        <f t="shared" ca="1" si="24"/>
        <v/>
      </c>
      <c r="O90" s="47" t="str">
        <f t="shared" ca="1" si="24"/>
        <v/>
      </c>
      <c r="P90" s="47" t="str">
        <f t="shared" ca="1" si="24"/>
        <v/>
      </c>
      <c r="Q90" s="47" t="str">
        <f t="shared" ca="1" si="24"/>
        <v/>
      </c>
      <c r="R90" s="47" t="str">
        <f t="shared" ca="1" si="24"/>
        <v/>
      </c>
      <c r="S90" s="47" t="str">
        <f t="shared" ca="1" si="24"/>
        <v/>
      </c>
      <c r="T90" s="47" t="str">
        <f t="shared" ca="1" si="24"/>
        <v/>
      </c>
      <c r="U90" s="47" t="str">
        <f t="shared" ca="1" si="24"/>
        <v/>
      </c>
      <c r="V90" s="47" t="str">
        <f t="shared" ca="1" si="25"/>
        <v/>
      </c>
      <c r="W90" s="47" t="str">
        <f t="shared" ca="1" si="25"/>
        <v/>
      </c>
      <c r="X90" s="47" t="str">
        <f t="shared" ca="1" si="25"/>
        <v/>
      </c>
      <c r="Y90" s="47" t="str">
        <f t="shared" ca="1" si="25"/>
        <v/>
      </c>
      <c r="Z90" s="47" t="str">
        <f t="shared" ca="1" si="25"/>
        <v/>
      </c>
      <c r="AA90" s="47" t="str">
        <f t="shared" ca="1" si="25"/>
        <v/>
      </c>
      <c r="AB90" s="47" t="str">
        <f t="shared" ca="1" si="25"/>
        <v/>
      </c>
      <c r="AC90" s="47" t="str">
        <f t="shared" ca="1" si="25"/>
        <v/>
      </c>
    </row>
    <row r="91" spans="1:29" x14ac:dyDescent="0.3">
      <c r="A91" s="5">
        <f t="shared" si="22"/>
        <v>81</v>
      </c>
      <c r="B91" s="45" t="str">
        <f t="shared" ca="1" si="23"/>
        <v/>
      </c>
      <c r="C91" s="46" t="str">
        <f t="shared" ca="1" si="23"/>
        <v/>
      </c>
      <c r="D91" s="46" t="str">
        <f t="shared" ca="1" si="23"/>
        <v/>
      </c>
      <c r="E91" s="45" t="str">
        <f t="shared" ca="1" si="23"/>
        <v/>
      </c>
      <c r="F91" s="46" t="str">
        <f t="shared" ca="1" si="23"/>
        <v/>
      </c>
      <c r="G91" s="46" t="str">
        <f t="shared" ca="1" si="23"/>
        <v/>
      </c>
      <c r="H91" s="46" t="str">
        <f t="shared" ca="1" si="23"/>
        <v/>
      </c>
      <c r="I91" s="46" t="str">
        <f t="shared" ca="1" si="23"/>
        <v/>
      </c>
      <c r="J91" s="47" t="str">
        <f t="shared" ca="1" si="23"/>
        <v/>
      </c>
      <c r="K91" s="47" t="str">
        <f t="shared" ca="1" si="23"/>
        <v/>
      </c>
      <c r="L91" s="47" t="str">
        <f t="shared" ca="1" si="24"/>
        <v/>
      </c>
      <c r="M91" s="47" t="str">
        <f t="shared" ca="1" si="24"/>
        <v/>
      </c>
      <c r="N91" s="47" t="str">
        <f t="shared" ca="1" si="24"/>
        <v/>
      </c>
      <c r="O91" s="47" t="str">
        <f t="shared" ca="1" si="24"/>
        <v/>
      </c>
      <c r="P91" s="47" t="str">
        <f t="shared" ca="1" si="24"/>
        <v/>
      </c>
      <c r="Q91" s="47" t="str">
        <f t="shared" ca="1" si="24"/>
        <v/>
      </c>
      <c r="R91" s="47" t="str">
        <f t="shared" ca="1" si="24"/>
        <v/>
      </c>
      <c r="S91" s="47" t="str">
        <f t="shared" ca="1" si="24"/>
        <v/>
      </c>
      <c r="T91" s="47" t="str">
        <f t="shared" ca="1" si="24"/>
        <v/>
      </c>
      <c r="U91" s="47" t="str">
        <f t="shared" ca="1" si="24"/>
        <v/>
      </c>
      <c r="V91" s="47" t="str">
        <f t="shared" ca="1" si="25"/>
        <v/>
      </c>
      <c r="W91" s="47" t="str">
        <f t="shared" ca="1" si="25"/>
        <v/>
      </c>
      <c r="X91" s="47" t="str">
        <f t="shared" ca="1" si="25"/>
        <v/>
      </c>
      <c r="Y91" s="47" t="str">
        <f t="shared" ca="1" si="25"/>
        <v/>
      </c>
      <c r="Z91" s="47" t="str">
        <f t="shared" ca="1" si="25"/>
        <v/>
      </c>
      <c r="AA91" s="47" t="str">
        <f t="shared" ca="1" si="25"/>
        <v/>
      </c>
      <c r="AB91" s="47" t="str">
        <f t="shared" ca="1" si="25"/>
        <v/>
      </c>
      <c r="AC91" s="47" t="str">
        <f t="shared" ca="1" si="25"/>
        <v/>
      </c>
    </row>
    <row r="92" spans="1:29" x14ac:dyDescent="0.3">
      <c r="A92" s="5">
        <f t="shared" si="22"/>
        <v>82</v>
      </c>
      <c r="B92" s="45" t="str">
        <f t="shared" ref="B92:K101" ca="1" si="26">IFERROR(IF(INDIRECT("raw!R"&amp;$A92&amp;"C"&amp;B$10,FALSE)&lt;&gt;"",INDIRECT("raw!R"&amp;$A92&amp;"C"&amp;B$10,FALSE),""),"")</f>
        <v/>
      </c>
      <c r="C92" s="46" t="str">
        <f t="shared" ca="1" si="26"/>
        <v/>
      </c>
      <c r="D92" s="46" t="str">
        <f t="shared" ca="1" si="26"/>
        <v/>
      </c>
      <c r="E92" s="45" t="str">
        <f t="shared" ca="1" si="26"/>
        <v/>
      </c>
      <c r="F92" s="46" t="str">
        <f t="shared" ca="1" si="26"/>
        <v/>
      </c>
      <c r="G92" s="46" t="str">
        <f t="shared" ca="1" si="26"/>
        <v/>
      </c>
      <c r="H92" s="46" t="str">
        <f t="shared" ca="1" si="26"/>
        <v/>
      </c>
      <c r="I92" s="46" t="str">
        <f t="shared" ca="1" si="26"/>
        <v/>
      </c>
      <c r="J92" s="47" t="str">
        <f t="shared" ca="1" si="26"/>
        <v/>
      </c>
      <c r="K92" s="47" t="str">
        <f t="shared" ca="1" si="26"/>
        <v/>
      </c>
      <c r="L92" s="47" t="str">
        <f t="shared" ref="L92:U101" ca="1" si="27">IFERROR(IF(INDIRECT("raw!R"&amp;$A92&amp;"C"&amp;L$10,FALSE)&lt;&gt;"",INDIRECT("raw!R"&amp;$A92&amp;"C"&amp;L$10,FALSE),""),"")</f>
        <v/>
      </c>
      <c r="M92" s="47" t="str">
        <f t="shared" ca="1" si="27"/>
        <v/>
      </c>
      <c r="N92" s="47" t="str">
        <f t="shared" ca="1" si="27"/>
        <v/>
      </c>
      <c r="O92" s="47" t="str">
        <f t="shared" ca="1" si="27"/>
        <v/>
      </c>
      <c r="P92" s="47" t="str">
        <f t="shared" ca="1" si="27"/>
        <v/>
      </c>
      <c r="Q92" s="47" t="str">
        <f t="shared" ca="1" si="27"/>
        <v/>
      </c>
      <c r="R92" s="47" t="str">
        <f t="shared" ca="1" si="27"/>
        <v/>
      </c>
      <c r="S92" s="47" t="str">
        <f t="shared" ca="1" si="27"/>
        <v/>
      </c>
      <c r="T92" s="47" t="str">
        <f t="shared" ca="1" si="27"/>
        <v/>
      </c>
      <c r="U92" s="47" t="str">
        <f t="shared" ca="1" si="27"/>
        <v/>
      </c>
      <c r="V92" s="47" t="str">
        <f t="shared" ref="V92:AC101" ca="1" si="28">IFERROR(IF(INDIRECT("raw!R"&amp;$A92&amp;"C"&amp;V$10,FALSE)&lt;&gt;"",INDIRECT("raw!R"&amp;$A92&amp;"C"&amp;V$10,FALSE),""),"")</f>
        <v/>
      </c>
      <c r="W92" s="47" t="str">
        <f t="shared" ca="1" si="28"/>
        <v/>
      </c>
      <c r="X92" s="47" t="str">
        <f t="shared" ca="1" si="28"/>
        <v/>
      </c>
      <c r="Y92" s="47" t="str">
        <f t="shared" ca="1" si="28"/>
        <v/>
      </c>
      <c r="Z92" s="47" t="str">
        <f t="shared" ca="1" si="28"/>
        <v/>
      </c>
      <c r="AA92" s="47" t="str">
        <f t="shared" ca="1" si="28"/>
        <v/>
      </c>
      <c r="AB92" s="47" t="str">
        <f t="shared" ca="1" si="28"/>
        <v/>
      </c>
      <c r="AC92" s="47" t="str">
        <f t="shared" ca="1" si="28"/>
        <v/>
      </c>
    </row>
    <row r="93" spans="1:29" x14ac:dyDescent="0.3">
      <c r="A93" s="5">
        <f t="shared" si="22"/>
        <v>83</v>
      </c>
      <c r="B93" s="45" t="str">
        <f t="shared" ca="1" si="26"/>
        <v/>
      </c>
      <c r="C93" s="46" t="str">
        <f t="shared" ca="1" si="26"/>
        <v/>
      </c>
      <c r="D93" s="46" t="str">
        <f t="shared" ca="1" si="26"/>
        <v/>
      </c>
      <c r="E93" s="45" t="str">
        <f t="shared" ca="1" si="26"/>
        <v/>
      </c>
      <c r="F93" s="46" t="str">
        <f t="shared" ca="1" si="26"/>
        <v/>
      </c>
      <c r="G93" s="46" t="str">
        <f t="shared" ca="1" si="26"/>
        <v/>
      </c>
      <c r="H93" s="46" t="str">
        <f t="shared" ca="1" si="26"/>
        <v/>
      </c>
      <c r="I93" s="46" t="str">
        <f t="shared" ca="1" si="26"/>
        <v/>
      </c>
      <c r="J93" s="47" t="str">
        <f t="shared" ca="1" si="26"/>
        <v/>
      </c>
      <c r="K93" s="47" t="str">
        <f t="shared" ca="1" si="26"/>
        <v/>
      </c>
      <c r="L93" s="47" t="str">
        <f t="shared" ca="1" si="27"/>
        <v/>
      </c>
      <c r="M93" s="47" t="str">
        <f t="shared" ca="1" si="27"/>
        <v/>
      </c>
      <c r="N93" s="47" t="str">
        <f t="shared" ca="1" si="27"/>
        <v/>
      </c>
      <c r="O93" s="47" t="str">
        <f t="shared" ca="1" si="27"/>
        <v/>
      </c>
      <c r="P93" s="47" t="str">
        <f t="shared" ca="1" si="27"/>
        <v/>
      </c>
      <c r="Q93" s="47" t="str">
        <f t="shared" ca="1" si="27"/>
        <v/>
      </c>
      <c r="R93" s="47" t="str">
        <f t="shared" ca="1" si="27"/>
        <v/>
      </c>
      <c r="S93" s="47" t="str">
        <f t="shared" ca="1" si="27"/>
        <v/>
      </c>
      <c r="T93" s="47" t="str">
        <f t="shared" ca="1" si="27"/>
        <v/>
      </c>
      <c r="U93" s="47" t="str">
        <f t="shared" ca="1" si="27"/>
        <v/>
      </c>
      <c r="V93" s="47" t="str">
        <f t="shared" ca="1" si="28"/>
        <v/>
      </c>
      <c r="W93" s="47" t="str">
        <f t="shared" ca="1" si="28"/>
        <v/>
      </c>
      <c r="X93" s="47" t="str">
        <f t="shared" ca="1" si="28"/>
        <v/>
      </c>
      <c r="Y93" s="47" t="str">
        <f t="shared" ca="1" si="28"/>
        <v/>
      </c>
      <c r="Z93" s="47" t="str">
        <f t="shared" ca="1" si="28"/>
        <v/>
      </c>
      <c r="AA93" s="47" t="str">
        <f t="shared" ca="1" si="28"/>
        <v/>
      </c>
      <c r="AB93" s="47" t="str">
        <f t="shared" ca="1" si="28"/>
        <v/>
      </c>
      <c r="AC93" s="47" t="str">
        <f t="shared" ca="1" si="28"/>
        <v/>
      </c>
    </row>
    <row r="94" spans="1:29" x14ac:dyDescent="0.3">
      <c r="A94" s="5">
        <f t="shared" si="22"/>
        <v>84</v>
      </c>
      <c r="B94" s="45" t="str">
        <f t="shared" ca="1" si="26"/>
        <v/>
      </c>
      <c r="C94" s="46" t="str">
        <f t="shared" ca="1" si="26"/>
        <v/>
      </c>
      <c r="D94" s="46" t="str">
        <f t="shared" ca="1" si="26"/>
        <v/>
      </c>
      <c r="E94" s="45" t="str">
        <f t="shared" ca="1" si="26"/>
        <v/>
      </c>
      <c r="F94" s="46" t="str">
        <f t="shared" ca="1" si="26"/>
        <v/>
      </c>
      <c r="G94" s="46" t="str">
        <f t="shared" ca="1" si="26"/>
        <v/>
      </c>
      <c r="H94" s="46" t="str">
        <f t="shared" ca="1" si="26"/>
        <v/>
      </c>
      <c r="I94" s="46" t="str">
        <f t="shared" ca="1" si="26"/>
        <v/>
      </c>
      <c r="J94" s="47" t="str">
        <f t="shared" ca="1" si="26"/>
        <v/>
      </c>
      <c r="K94" s="47" t="str">
        <f t="shared" ca="1" si="26"/>
        <v/>
      </c>
      <c r="L94" s="47" t="str">
        <f t="shared" ca="1" si="27"/>
        <v/>
      </c>
      <c r="M94" s="47" t="str">
        <f t="shared" ca="1" si="27"/>
        <v/>
      </c>
      <c r="N94" s="47" t="str">
        <f t="shared" ca="1" si="27"/>
        <v/>
      </c>
      <c r="O94" s="47" t="str">
        <f t="shared" ca="1" si="27"/>
        <v/>
      </c>
      <c r="P94" s="47" t="str">
        <f t="shared" ca="1" si="27"/>
        <v/>
      </c>
      <c r="Q94" s="47" t="str">
        <f t="shared" ca="1" si="27"/>
        <v/>
      </c>
      <c r="R94" s="47" t="str">
        <f t="shared" ca="1" si="27"/>
        <v/>
      </c>
      <c r="S94" s="47" t="str">
        <f t="shared" ca="1" si="27"/>
        <v/>
      </c>
      <c r="T94" s="47" t="str">
        <f t="shared" ca="1" si="27"/>
        <v/>
      </c>
      <c r="U94" s="47" t="str">
        <f t="shared" ca="1" si="27"/>
        <v/>
      </c>
      <c r="V94" s="47" t="str">
        <f t="shared" ca="1" si="28"/>
        <v/>
      </c>
      <c r="W94" s="47" t="str">
        <f t="shared" ca="1" si="28"/>
        <v/>
      </c>
      <c r="X94" s="47" t="str">
        <f t="shared" ca="1" si="28"/>
        <v/>
      </c>
      <c r="Y94" s="47" t="str">
        <f t="shared" ca="1" si="28"/>
        <v/>
      </c>
      <c r="Z94" s="47" t="str">
        <f t="shared" ca="1" si="28"/>
        <v/>
      </c>
      <c r="AA94" s="47" t="str">
        <f t="shared" ca="1" si="28"/>
        <v/>
      </c>
      <c r="AB94" s="47" t="str">
        <f t="shared" ca="1" si="28"/>
        <v/>
      </c>
      <c r="AC94" s="47" t="str">
        <f t="shared" ca="1" si="28"/>
        <v/>
      </c>
    </row>
    <row r="95" spans="1:29" x14ac:dyDescent="0.3">
      <c r="A95" s="5">
        <f t="shared" si="22"/>
        <v>85</v>
      </c>
      <c r="B95" s="45" t="str">
        <f t="shared" ca="1" si="26"/>
        <v/>
      </c>
      <c r="C95" s="46" t="str">
        <f t="shared" ca="1" si="26"/>
        <v/>
      </c>
      <c r="D95" s="46" t="str">
        <f t="shared" ca="1" si="26"/>
        <v/>
      </c>
      <c r="E95" s="45" t="str">
        <f t="shared" ca="1" si="26"/>
        <v/>
      </c>
      <c r="F95" s="46" t="str">
        <f t="shared" ca="1" si="26"/>
        <v/>
      </c>
      <c r="G95" s="46" t="str">
        <f t="shared" ca="1" si="26"/>
        <v/>
      </c>
      <c r="H95" s="46" t="str">
        <f t="shared" ca="1" si="26"/>
        <v/>
      </c>
      <c r="I95" s="46" t="str">
        <f t="shared" ca="1" si="26"/>
        <v/>
      </c>
      <c r="J95" s="47" t="str">
        <f t="shared" ca="1" si="26"/>
        <v/>
      </c>
      <c r="K95" s="47" t="str">
        <f t="shared" ca="1" si="26"/>
        <v/>
      </c>
      <c r="L95" s="47" t="str">
        <f t="shared" ca="1" si="27"/>
        <v/>
      </c>
      <c r="M95" s="47" t="str">
        <f t="shared" ca="1" si="27"/>
        <v/>
      </c>
      <c r="N95" s="47" t="str">
        <f t="shared" ca="1" si="27"/>
        <v/>
      </c>
      <c r="O95" s="47" t="str">
        <f t="shared" ca="1" si="27"/>
        <v/>
      </c>
      <c r="P95" s="47" t="str">
        <f t="shared" ca="1" si="27"/>
        <v/>
      </c>
      <c r="Q95" s="47" t="str">
        <f t="shared" ca="1" si="27"/>
        <v/>
      </c>
      <c r="R95" s="47" t="str">
        <f t="shared" ca="1" si="27"/>
        <v/>
      </c>
      <c r="S95" s="47" t="str">
        <f t="shared" ca="1" si="27"/>
        <v/>
      </c>
      <c r="T95" s="47" t="str">
        <f t="shared" ca="1" si="27"/>
        <v/>
      </c>
      <c r="U95" s="47" t="str">
        <f t="shared" ca="1" si="27"/>
        <v/>
      </c>
      <c r="V95" s="47" t="str">
        <f t="shared" ca="1" si="28"/>
        <v/>
      </c>
      <c r="W95" s="47" t="str">
        <f t="shared" ca="1" si="28"/>
        <v/>
      </c>
      <c r="X95" s="47" t="str">
        <f t="shared" ca="1" si="28"/>
        <v/>
      </c>
      <c r="Y95" s="47" t="str">
        <f t="shared" ca="1" si="28"/>
        <v/>
      </c>
      <c r="Z95" s="47" t="str">
        <f t="shared" ca="1" si="28"/>
        <v/>
      </c>
      <c r="AA95" s="47" t="str">
        <f t="shared" ca="1" si="28"/>
        <v/>
      </c>
      <c r="AB95" s="47" t="str">
        <f t="shared" ca="1" si="28"/>
        <v/>
      </c>
      <c r="AC95" s="47" t="str">
        <f t="shared" ca="1" si="28"/>
        <v/>
      </c>
    </row>
    <row r="96" spans="1:29" x14ac:dyDescent="0.3">
      <c r="A96" s="5">
        <f t="shared" si="22"/>
        <v>86</v>
      </c>
      <c r="B96" s="45" t="str">
        <f t="shared" ca="1" si="26"/>
        <v/>
      </c>
      <c r="C96" s="46" t="str">
        <f t="shared" ca="1" si="26"/>
        <v/>
      </c>
      <c r="D96" s="46" t="str">
        <f t="shared" ca="1" si="26"/>
        <v/>
      </c>
      <c r="E96" s="45" t="str">
        <f t="shared" ca="1" si="26"/>
        <v/>
      </c>
      <c r="F96" s="46" t="str">
        <f t="shared" ca="1" si="26"/>
        <v/>
      </c>
      <c r="G96" s="46" t="str">
        <f t="shared" ca="1" si="26"/>
        <v/>
      </c>
      <c r="H96" s="46" t="str">
        <f t="shared" ca="1" si="26"/>
        <v/>
      </c>
      <c r="I96" s="46" t="str">
        <f t="shared" ca="1" si="26"/>
        <v/>
      </c>
      <c r="J96" s="47" t="str">
        <f t="shared" ca="1" si="26"/>
        <v/>
      </c>
      <c r="K96" s="47" t="str">
        <f t="shared" ca="1" si="26"/>
        <v/>
      </c>
      <c r="L96" s="47" t="str">
        <f t="shared" ca="1" si="27"/>
        <v/>
      </c>
      <c r="M96" s="47" t="str">
        <f t="shared" ca="1" si="27"/>
        <v/>
      </c>
      <c r="N96" s="47" t="str">
        <f t="shared" ca="1" si="27"/>
        <v/>
      </c>
      <c r="O96" s="47" t="str">
        <f t="shared" ca="1" si="27"/>
        <v/>
      </c>
      <c r="P96" s="47" t="str">
        <f t="shared" ca="1" si="27"/>
        <v/>
      </c>
      <c r="Q96" s="47" t="str">
        <f t="shared" ca="1" si="27"/>
        <v/>
      </c>
      <c r="R96" s="47" t="str">
        <f t="shared" ca="1" si="27"/>
        <v/>
      </c>
      <c r="S96" s="47" t="str">
        <f t="shared" ca="1" si="27"/>
        <v/>
      </c>
      <c r="T96" s="47" t="str">
        <f t="shared" ca="1" si="27"/>
        <v/>
      </c>
      <c r="U96" s="47" t="str">
        <f t="shared" ca="1" si="27"/>
        <v/>
      </c>
      <c r="V96" s="47" t="str">
        <f t="shared" ca="1" si="28"/>
        <v/>
      </c>
      <c r="W96" s="47" t="str">
        <f t="shared" ca="1" si="28"/>
        <v/>
      </c>
      <c r="X96" s="47" t="str">
        <f t="shared" ca="1" si="28"/>
        <v/>
      </c>
      <c r="Y96" s="47" t="str">
        <f t="shared" ca="1" si="28"/>
        <v/>
      </c>
      <c r="Z96" s="47" t="str">
        <f t="shared" ca="1" si="28"/>
        <v/>
      </c>
      <c r="AA96" s="47" t="str">
        <f t="shared" ca="1" si="28"/>
        <v/>
      </c>
      <c r="AB96" s="47" t="str">
        <f t="shared" ca="1" si="28"/>
        <v/>
      </c>
      <c r="AC96" s="47" t="str">
        <f t="shared" ca="1" si="28"/>
        <v/>
      </c>
    </row>
    <row r="97" spans="1:29" x14ac:dyDescent="0.3">
      <c r="A97" s="5">
        <f t="shared" si="22"/>
        <v>87</v>
      </c>
      <c r="B97" s="45" t="str">
        <f t="shared" ca="1" si="26"/>
        <v/>
      </c>
      <c r="C97" s="46" t="str">
        <f t="shared" ca="1" si="26"/>
        <v/>
      </c>
      <c r="D97" s="46" t="str">
        <f t="shared" ca="1" si="26"/>
        <v/>
      </c>
      <c r="E97" s="45" t="str">
        <f t="shared" ca="1" si="26"/>
        <v/>
      </c>
      <c r="F97" s="46" t="str">
        <f t="shared" ca="1" si="26"/>
        <v/>
      </c>
      <c r="G97" s="46" t="str">
        <f t="shared" ca="1" si="26"/>
        <v/>
      </c>
      <c r="H97" s="46" t="str">
        <f t="shared" ca="1" si="26"/>
        <v/>
      </c>
      <c r="I97" s="46" t="str">
        <f t="shared" ca="1" si="26"/>
        <v/>
      </c>
      <c r="J97" s="47" t="str">
        <f t="shared" ca="1" si="26"/>
        <v/>
      </c>
      <c r="K97" s="47" t="str">
        <f t="shared" ca="1" si="26"/>
        <v/>
      </c>
      <c r="L97" s="47" t="str">
        <f t="shared" ca="1" si="27"/>
        <v/>
      </c>
      <c r="M97" s="47" t="str">
        <f t="shared" ca="1" si="27"/>
        <v/>
      </c>
      <c r="N97" s="47" t="str">
        <f t="shared" ca="1" si="27"/>
        <v/>
      </c>
      <c r="O97" s="47" t="str">
        <f t="shared" ca="1" si="27"/>
        <v/>
      </c>
      <c r="P97" s="47" t="str">
        <f t="shared" ca="1" si="27"/>
        <v/>
      </c>
      <c r="Q97" s="47" t="str">
        <f t="shared" ca="1" si="27"/>
        <v/>
      </c>
      <c r="R97" s="47" t="str">
        <f t="shared" ca="1" si="27"/>
        <v/>
      </c>
      <c r="S97" s="47" t="str">
        <f t="shared" ca="1" si="27"/>
        <v/>
      </c>
      <c r="T97" s="47" t="str">
        <f t="shared" ca="1" si="27"/>
        <v/>
      </c>
      <c r="U97" s="47" t="str">
        <f t="shared" ca="1" si="27"/>
        <v/>
      </c>
      <c r="V97" s="47" t="str">
        <f t="shared" ca="1" si="28"/>
        <v/>
      </c>
      <c r="W97" s="47" t="str">
        <f t="shared" ca="1" si="28"/>
        <v/>
      </c>
      <c r="X97" s="47" t="str">
        <f t="shared" ca="1" si="28"/>
        <v/>
      </c>
      <c r="Y97" s="47" t="str">
        <f t="shared" ca="1" si="28"/>
        <v/>
      </c>
      <c r="Z97" s="47" t="str">
        <f t="shared" ca="1" si="28"/>
        <v/>
      </c>
      <c r="AA97" s="47" t="str">
        <f t="shared" ca="1" si="28"/>
        <v/>
      </c>
      <c r="AB97" s="47" t="str">
        <f t="shared" ca="1" si="28"/>
        <v/>
      </c>
      <c r="AC97" s="47" t="str">
        <f t="shared" ca="1" si="28"/>
        <v/>
      </c>
    </row>
    <row r="98" spans="1:29" x14ac:dyDescent="0.3">
      <c r="A98" s="5">
        <f t="shared" si="22"/>
        <v>88</v>
      </c>
      <c r="B98" s="45" t="str">
        <f t="shared" ca="1" si="26"/>
        <v/>
      </c>
      <c r="C98" s="46" t="str">
        <f t="shared" ca="1" si="26"/>
        <v/>
      </c>
      <c r="D98" s="46" t="str">
        <f t="shared" ca="1" si="26"/>
        <v/>
      </c>
      <c r="E98" s="45" t="str">
        <f t="shared" ca="1" si="26"/>
        <v/>
      </c>
      <c r="F98" s="46" t="str">
        <f t="shared" ca="1" si="26"/>
        <v/>
      </c>
      <c r="G98" s="46" t="str">
        <f t="shared" ca="1" si="26"/>
        <v/>
      </c>
      <c r="H98" s="46" t="str">
        <f t="shared" ca="1" si="26"/>
        <v/>
      </c>
      <c r="I98" s="46" t="str">
        <f t="shared" ca="1" si="26"/>
        <v/>
      </c>
      <c r="J98" s="47" t="str">
        <f t="shared" ca="1" si="26"/>
        <v/>
      </c>
      <c r="K98" s="47" t="str">
        <f t="shared" ca="1" si="26"/>
        <v/>
      </c>
      <c r="L98" s="47" t="str">
        <f t="shared" ca="1" si="27"/>
        <v/>
      </c>
      <c r="M98" s="47" t="str">
        <f t="shared" ca="1" si="27"/>
        <v/>
      </c>
      <c r="N98" s="47" t="str">
        <f t="shared" ca="1" si="27"/>
        <v/>
      </c>
      <c r="O98" s="47" t="str">
        <f t="shared" ca="1" si="27"/>
        <v/>
      </c>
      <c r="P98" s="47" t="str">
        <f t="shared" ca="1" si="27"/>
        <v/>
      </c>
      <c r="Q98" s="47" t="str">
        <f t="shared" ca="1" si="27"/>
        <v/>
      </c>
      <c r="R98" s="47" t="str">
        <f t="shared" ca="1" si="27"/>
        <v/>
      </c>
      <c r="S98" s="47" t="str">
        <f t="shared" ca="1" si="27"/>
        <v/>
      </c>
      <c r="T98" s="47" t="str">
        <f t="shared" ca="1" si="27"/>
        <v/>
      </c>
      <c r="U98" s="47" t="str">
        <f t="shared" ca="1" si="27"/>
        <v/>
      </c>
      <c r="V98" s="47" t="str">
        <f t="shared" ca="1" si="28"/>
        <v/>
      </c>
      <c r="W98" s="47" t="str">
        <f t="shared" ca="1" si="28"/>
        <v/>
      </c>
      <c r="X98" s="47" t="str">
        <f t="shared" ca="1" si="28"/>
        <v/>
      </c>
      <c r="Y98" s="47" t="str">
        <f t="shared" ca="1" si="28"/>
        <v/>
      </c>
      <c r="Z98" s="47" t="str">
        <f t="shared" ca="1" si="28"/>
        <v/>
      </c>
      <c r="AA98" s="47" t="str">
        <f t="shared" ca="1" si="28"/>
        <v/>
      </c>
      <c r="AB98" s="47" t="str">
        <f t="shared" ca="1" si="28"/>
        <v/>
      </c>
      <c r="AC98" s="47" t="str">
        <f t="shared" ca="1" si="28"/>
        <v/>
      </c>
    </row>
    <row r="99" spans="1:29" x14ac:dyDescent="0.3">
      <c r="A99" s="5">
        <f t="shared" si="22"/>
        <v>89</v>
      </c>
      <c r="B99" s="45" t="str">
        <f t="shared" ca="1" si="26"/>
        <v/>
      </c>
      <c r="C99" s="46" t="str">
        <f t="shared" ca="1" si="26"/>
        <v/>
      </c>
      <c r="D99" s="46" t="str">
        <f t="shared" ca="1" si="26"/>
        <v/>
      </c>
      <c r="E99" s="45" t="str">
        <f t="shared" ca="1" si="26"/>
        <v/>
      </c>
      <c r="F99" s="46" t="str">
        <f t="shared" ca="1" si="26"/>
        <v/>
      </c>
      <c r="G99" s="46" t="str">
        <f t="shared" ca="1" si="26"/>
        <v/>
      </c>
      <c r="H99" s="46" t="str">
        <f t="shared" ca="1" si="26"/>
        <v/>
      </c>
      <c r="I99" s="46" t="str">
        <f t="shared" ca="1" si="26"/>
        <v/>
      </c>
      <c r="J99" s="47" t="str">
        <f t="shared" ca="1" si="26"/>
        <v/>
      </c>
      <c r="K99" s="47" t="str">
        <f t="shared" ca="1" si="26"/>
        <v/>
      </c>
      <c r="L99" s="47" t="str">
        <f t="shared" ca="1" si="27"/>
        <v/>
      </c>
      <c r="M99" s="47" t="str">
        <f t="shared" ca="1" si="27"/>
        <v/>
      </c>
      <c r="N99" s="47" t="str">
        <f t="shared" ca="1" si="27"/>
        <v/>
      </c>
      <c r="O99" s="47" t="str">
        <f t="shared" ca="1" si="27"/>
        <v/>
      </c>
      <c r="P99" s="47" t="str">
        <f t="shared" ca="1" si="27"/>
        <v/>
      </c>
      <c r="Q99" s="47" t="str">
        <f t="shared" ca="1" si="27"/>
        <v/>
      </c>
      <c r="R99" s="47" t="str">
        <f t="shared" ca="1" si="27"/>
        <v/>
      </c>
      <c r="S99" s="47" t="str">
        <f t="shared" ca="1" si="27"/>
        <v/>
      </c>
      <c r="T99" s="47" t="str">
        <f t="shared" ca="1" si="27"/>
        <v/>
      </c>
      <c r="U99" s="47" t="str">
        <f t="shared" ca="1" si="27"/>
        <v/>
      </c>
      <c r="V99" s="47" t="str">
        <f t="shared" ca="1" si="28"/>
        <v/>
      </c>
      <c r="W99" s="47" t="str">
        <f t="shared" ca="1" si="28"/>
        <v/>
      </c>
      <c r="X99" s="47" t="str">
        <f t="shared" ca="1" si="28"/>
        <v/>
      </c>
      <c r="Y99" s="47" t="str">
        <f t="shared" ca="1" si="28"/>
        <v/>
      </c>
      <c r="Z99" s="47" t="str">
        <f t="shared" ca="1" si="28"/>
        <v/>
      </c>
      <c r="AA99" s="47" t="str">
        <f t="shared" ca="1" si="28"/>
        <v/>
      </c>
      <c r="AB99" s="47" t="str">
        <f t="shared" ca="1" si="28"/>
        <v/>
      </c>
      <c r="AC99" s="47" t="str">
        <f t="shared" ca="1" si="28"/>
        <v/>
      </c>
    </row>
    <row r="100" spans="1:29" x14ac:dyDescent="0.3">
      <c r="A100" s="5">
        <f t="shared" si="22"/>
        <v>90</v>
      </c>
      <c r="B100" s="45" t="str">
        <f t="shared" ca="1" si="26"/>
        <v/>
      </c>
      <c r="C100" s="46" t="str">
        <f t="shared" ca="1" si="26"/>
        <v/>
      </c>
      <c r="D100" s="46" t="str">
        <f t="shared" ca="1" si="26"/>
        <v/>
      </c>
      <c r="E100" s="45" t="str">
        <f t="shared" ca="1" si="26"/>
        <v/>
      </c>
      <c r="F100" s="46" t="str">
        <f t="shared" ca="1" si="26"/>
        <v/>
      </c>
      <c r="G100" s="46" t="str">
        <f t="shared" ca="1" si="26"/>
        <v/>
      </c>
      <c r="H100" s="46" t="str">
        <f t="shared" ca="1" si="26"/>
        <v/>
      </c>
      <c r="I100" s="46" t="str">
        <f t="shared" ca="1" si="26"/>
        <v/>
      </c>
      <c r="J100" s="47" t="str">
        <f t="shared" ca="1" si="26"/>
        <v/>
      </c>
      <c r="K100" s="47" t="str">
        <f t="shared" ca="1" si="26"/>
        <v/>
      </c>
      <c r="L100" s="47" t="str">
        <f t="shared" ca="1" si="27"/>
        <v/>
      </c>
      <c r="M100" s="47" t="str">
        <f t="shared" ca="1" si="27"/>
        <v/>
      </c>
      <c r="N100" s="47" t="str">
        <f t="shared" ca="1" si="27"/>
        <v/>
      </c>
      <c r="O100" s="47" t="str">
        <f t="shared" ca="1" si="27"/>
        <v/>
      </c>
      <c r="P100" s="47" t="str">
        <f t="shared" ca="1" si="27"/>
        <v/>
      </c>
      <c r="Q100" s="47" t="str">
        <f t="shared" ca="1" si="27"/>
        <v/>
      </c>
      <c r="R100" s="47" t="str">
        <f t="shared" ca="1" si="27"/>
        <v/>
      </c>
      <c r="S100" s="47" t="str">
        <f t="shared" ca="1" si="27"/>
        <v/>
      </c>
      <c r="T100" s="47" t="str">
        <f t="shared" ca="1" si="27"/>
        <v/>
      </c>
      <c r="U100" s="47" t="str">
        <f t="shared" ca="1" si="27"/>
        <v/>
      </c>
      <c r="V100" s="47" t="str">
        <f t="shared" ca="1" si="28"/>
        <v/>
      </c>
      <c r="W100" s="47" t="str">
        <f t="shared" ca="1" si="28"/>
        <v/>
      </c>
      <c r="X100" s="47" t="str">
        <f t="shared" ca="1" si="28"/>
        <v/>
      </c>
      <c r="Y100" s="47" t="str">
        <f t="shared" ca="1" si="28"/>
        <v/>
      </c>
      <c r="Z100" s="47" t="str">
        <f t="shared" ca="1" si="28"/>
        <v/>
      </c>
      <c r="AA100" s="47" t="str">
        <f t="shared" ca="1" si="28"/>
        <v/>
      </c>
      <c r="AB100" s="47" t="str">
        <f t="shared" ca="1" si="28"/>
        <v/>
      </c>
      <c r="AC100" s="47" t="str">
        <f t="shared" ca="1" si="28"/>
        <v/>
      </c>
    </row>
    <row r="101" spans="1:29" x14ac:dyDescent="0.3">
      <c r="A101" s="5">
        <f t="shared" si="22"/>
        <v>91</v>
      </c>
      <c r="B101" s="45" t="str">
        <f t="shared" ca="1" si="26"/>
        <v/>
      </c>
      <c r="C101" s="46" t="str">
        <f t="shared" ca="1" si="26"/>
        <v/>
      </c>
      <c r="D101" s="46" t="str">
        <f t="shared" ca="1" si="26"/>
        <v/>
      </c>
      <c r="E101" s="45" t="str">
        <f t="shared" ca="1" si="26"/>
        <v/>
      </c>
      <c r="F101" s="46" t="str">
        <f t="shared" ca="1" si="26"/>
        <v/>
      </c>
      <c r="G101" s="46" t="str">
        <f t="shared" ca="1" si="26"/>
        <v/>
      </c>
      <c r="H101" s="46" t="str">
        <f t="shared" ca="1" si="26"/>
        <v/>
      </c>
      <c r="I101" s="46" t="str">
        <f t="shared" ca="1" si="26"/>
        <v/>
      </c>
      <c r="J101" s="47" t="str">
        <f t="shared" ca="1" si="26"/>
        <v/>
      </c>
      <c r="K101" s="47" t="str">
        <f t="shared" ca="1" si="26"/>
        <v/>
      </c>
      <c r="L101" s="47" t="str">
        <f t="shared" ca="1" si="27"/>
        <v/>
      </c>
      <c r="M101" s="47" t="str">
        <f t="shared" ca="1" si="27"/>
        <v/>
      </c>
      <c r="N101" s="47" t="str">
        <f t="shared" ca="1" si="27"/>
        <v/>
      </c>
      <c r="O101" s="47" t="str">
        <f t="shared" ca="1" si="27"/>
        <v/>
      </c>
      <c r="P101" s="47" t="str">
        <f t="shared" ca="1" si="27"/>
        <v/>
      </c>
      <c r="Q101" s="47" t="str">
        <f t="shared" ca="1" si="27"/>
        <v/>
      </c>
      <c r="R101" s="47" t="str">
        <f t="shared" ca="1" si="27"/>
        <v/>
      </c>
      <c r="S101" s="47" t="str">
        <f t="shared" ca="1" si="27"/>
        <v/>
      </c>
      <c r="T101" s="47" t="str">
        <f t="shared" ca="1" si="27"/>
        <v/>
      </c>
      <c r="U101" s="47" t="str">
        <f t="shared" ca="1" si="27"/>
        <v/>
      </c>
      <c r="V101" s="47" t="str">
        <f t="shared" ca="1" si="28"/>
        <v/>
      </c>
      <c r="W101" s="47" t="str">
        <f t="shared" ca="1" si="28"/>
        <v/>
      </c>
      <c r="X101" s="47" t="str">
        <f t="shared" ca="1" si="28"/>
        <v/>
      </c>
      <c r="Y101" s="47" t="str">
        <f t="shared" ca="1" si="28"/>
        <v/>
      </c>
      <c r="Z101" s="47" t="str">
        <f t="shared" ca="1" si="28"/>
        <v/>
      </c>
      <c r="AA101" s="47" t="str">
        <f t="shared" ca="1" si="28"/>
        <v/>
      </c>
      <c r="AB101" s="47" t="str">
        <f t="shared" ca="1" si="28"/>
        <v/>
      </c>
      <c r="AC101" s="47" t="str">
        <f t="shared" ca="1" si="28"/>
        <v/>
      </c>
    </row>
    <row r="102" spans="1:29" x14ac:dyDescent="0.3">
      <c r="A102" s="5">
        <f t="shared" si="22"/>
        <v>92</v>
      </c>
      <c r="B102" s="45" t="str">
        <f t="shared" ref="B102:K111" ca="1" si="29">IFERROR(IF(INDIRECT("raw!R"&amp;$A102&amp;"C"&amp;B$10,FALSE)&lt;&gt;"",INDIRECT("raw!R"&amp;$A102&amp;"C"&amp;B$10,FALSE),""),"")</f>
        <v/>
      </c>
      <c r="C102" s="46" t="str">
        <f t="shared" ca="1" si="29"/>
        <v/>
      </c>
      <c r="D102" s="46" t="str">
        <f t="shared" ca="1" si="29"/>
        <v/>
      </c>
      <c r="E102" s="45" t="str">
        <f t="shared" ca="1" si="29"/>
        <v/>
      </c>
      <c r="F102" s="46" t="str">
        <f t="shared" ca="1" si="29"/>
        <v/>
      </c>
      <c r="G102" s="46" t="str">
        <f t="shared" ca="1" si="29"/>
        <v/>
      </c>
      <c r="H102" s="46" t="str">
        <f t="shared" ca="1" si="29"/>
        <v/>
      </c>
      <c r="I102" s="46" t="str">
        <f t="shared" ca="1" si="29"/>
        <v/>
      </c>
      <c r="J102" s="47" t="str">
        <f t="shared" ca="1" si="29"/>
        <v/>
      </c>
      <c r="K102" s="47" t="str">
        <f t="shared" ca="1" si="29"/>
        <v/>
      </c>
      <c r="L102" s="47" t="str">
        <f t="shared" ref="L102:U111" ca="1" si="30">IFERROR(IF(INDIRECT("raw!R"&amp;$A102&amp;"C"&amp;L$10,FALSE)&lt;&gt;"",INDIRECT("raw!R"&amp;$A102&amp;"C"&amp;L$10,FALSE),""),"")</f>
        <v/>
      </c>
      <c r="M102" s="47" t="str">
        <f t="shared" ca="1" si="30"/>
        <v/>
      </c>
      <c r="N102" s="47" t="str">
        <f t="shared" ca="1" si="30"/>
        <v/>
      </c>
      <c r="O102" s="47" t="str">
        <f t="shared" ca="1" si="30"/>
        <v/>
      </c>
      <c r="P102" s="47" t="str">
        <f t="shared" ca="1" si="30"/>
        <v/>
      </c>
      <c r="Q102" s="47" t="str">
        <f t="shared" ca="1" si="30"/>
        <v/>
      </c>
      <c r="R102" s="47" t="str">
        <f t="shared" ca="1" si="30"/>
        <v/>
      </c>
      <c r="S102" s="47" t="str">
        <f t="shared" ca="1" si="30"/>
        <v/>
      </c>
      <c r="T102" s="47" t="str">
        <f t="shared" ca="1" si="30"/>
        <v/>
      </c>
      <c r="U102" s="47" t="str">
        <f t="shared" ca="1" si="30"/>
        <v/>
      </c>
      <c r="V102" s="47" t="str">
        <f t="shared" ref="V102:AC111" ca="1" si="31">IFERROR(IF(INDIRECT("raw!R"&amp;$A102&amp;"C"&amp;V$10,FALSE)&lt;&gt;"",INDIRECT("raw!R"&amp;$A102&amp;"C"&amp;V$10,FALSE),""),"")</f>
        <v/>
      </c>
      <c r="W102" s="47" t="str">
        <f t="shared" ca="1" si="31"/>
        <v/>
      </c>
      <c r="X102" s="47" t="str">
        <f t="shared" ca="1" si="31"/>
        <v/>
      </c>
      <c r="Y102" s="47" t="str">
        <f t="shared" ca="1" si="31"/>
        <v/>
      </c>
      <c r="Z102" s="47" t="str">
        <f t="shared" ca="1" si="31"/>
        <v/>
      </c>
      <c r="AA102" s="47" t="str">
        <f t="shared" ca="1" si="31"/>
        <v/>
      </c>
      <c r="AB102" s="47" t="str">
        <f t="shared" ca="1" si="31"/>
        <v/>
      </c>
      <c r="AC102" s="47" t="str">
        <f t="shared" ca="1" si="31"/>
        <v/>
      </c>
    </row>
    <row r="103" spans="1:29" x14ac:dyDescent="0.3">
      <c r="A103" s="5">
        <f t="shared" si="22"/>
        <v>93</v>
      </c>
      <c r="B103" s="45" t="str">
        <f t="shared" ca="1" si="29"/>
        <v/>
      </c>
      <c r="C103" s="46" t="str">
        <f t="shared" ca="1" si="29"/>
        <v/>
      </c>
      <c r="D103" s="46" t="str">
        <f t="shared" ca="1" si="29"/>
        <v/>
      </c>
      <c r="E103" s="45" t="str">
        <f t="shared" ca="1" si="29"/>
        <v/>
      </c>
      <c r="F103" s="46" t="str">
        <f t="shared" ca="1" si="29"/>
        <v/>
      </c>
      <c r="G103" s="46" t="str">
        <f t="shared" ca="1" si="29"/>
        <v/>
      </c>
      <c r="H103" s="46" t="str">
        <f t="shared" ca="1" si="29"/>
        <v/>
      </c>
      <c r="I103" s="46" t="str">
        <f t="shared" ca="1" si="29"/>
        <v/>
      </c>
      <c r="J103" s="47" t="str">
        <f t="shared" ca="1" si="29"/>
        <v/>
      </c>
      <c r="K103" s="47" t="str">
        <f t="shared" ca="1" si="29"/>
        <v/>
      </c>
      <c r="L103" s="47" t="str">
        <f t="shared" ca="1" si="30"/>
        <v/>
      </c>
      <c r="M103" s="47" t="str">
        <f t="shared" ca="1" si="30"/>
        <v/>
      </c>
      <c r="N103" s="47" t="str">
        <f t="shared" ca="1" si="30"/>
        <v/>
      </c>
      <c r="O103" s="47" t="str">
        <f t="shared" ca="1" si="30"/>
        <v/>
      </c>
      <c r="P103" s="47" t="str">
        <f t="shared" ca="1" si="30"/>
        <v/>
      </c>
      <c r="Q103" s="47" t="str">
        <f t="shared" ca="1" si="30"/>
        <v/>
      </c>
      <c r="R103" s="47" t="str">
        <f t="shared" ca="1" si="30"/>
        <v/>
      </c>
      <c r="S103" s="47" t="str">
        <f t="shared" ca="1" si="30"/>
        <v/>
      </c>
      <c r="T103" s="47" t="str">
        <f t="shared" ca="1" si="30"/>
        <v/>
      </c>
      <c r="U103" s="47" t="str">
        <f t="shared" ca="1" si="30"/>
        <v/>
      </c>
      <c r="V103" s="47" t="str">
        <f t="shared" ca="1" si="31"/>
        <v/>
      </c>
      <c r="W103" s="47" t="str">
        <f t="shared" ca="1" si="31"/>
        <v/>
      </c>
      <c r="X103" s="47" t="str">
        <f t="shared" ca="1" si="31"/>
        <v/>
      </c>
      <c r="Y103" s="47" t="str">
        <f t="shared" ca="1" si="31"/>
        <v/>
      </c>
      <c r="Z103" s="47" t="str">
        <f t="shared" ca="1" si="31"/>
        <v/>
      </c>
      <c r="AA103" s="47" t="str">
        <f t="shared" ca="1" si="31"/>
        <v/>
      </c>
      <c r="AB103" s="47" t="str">
        <f t="shared" ca="1" si="31"/>
        <v/>
      </c>
      <c r="AC103" s="47" t="str">
        <f t="shared" ca="1" si="31"/>
        <v/>
      </c>
    </row>
    <row r="104" spans="1:29" x14ac:dyDescent="0.3">
      <c r="A104" s="5">
        <f t="shared" si="22"/>
        <v>94</v>
      </c>
      <c r="B104" s="45" t="str">
        <f t="shared" ca="1" si="29"/>
        <v/>
      </c>
      <c r="C104" s="46" t="str">
        <f t="shared" ca="1" si="29"/>
        <v/>
      </c>
      <c r="D104" s="46" t="str">
        <f t="shared" ca="1" si="29"/>
        <v/>
      </c>
      <c r="E104" s="45" t="str">
        <f t="shared" ca="1" si="29"/>
        <v/>
      </c>
      <c r="F104" s="46" t="str">
        <f t="shared" ca="1" si="29"/>
        <v/>
      </c>
      <c r="G104" s="46" t="str">
        <f t="shared" ca="1" si="29"/>
        <v/>
      </c>
      <c r="H104" s="46" t="str">
        <f t="shared" ca="1" si="29"/>
        <v/>
      </c>
      <c r="I104" s="46" t="str">
        <f t="shared" ca="1" si="29"/>
        <v/>
      </c>
      <c r="J104" s="47" t="str">
        <f t="shared" ca="1" si="29"/>
        <v/>
      </c>
      <c r="K104" s="47" t="str">
        <f t="shared" ca="1" si="29"/>
        <v/>
      </c>
      <c r="L104" s="47" t="str">
        <f t="shared" ca="1" si="30"/>
        <v/>
      </c>
      <c r="M104" s="47" t="str">
        <f t="shared" ca="1" si="30"/>
        <v/>
      </c>
      <c r="N104" s="47" t="str">
        <f t="shared" ca="1" si="30"/>
        <v/>
      </c>
      <c r="O104" s="47" t="str">
        <f t="shared" ca="1" si="30"/>
        <v/>
      </c>
      <c r="P104" s="47" t="str">
        <f t="shared" ca="1" si="30"/>
        <v/>
      </c>
      <c r="Q104" s="47" t="str">
        <f t="shared" ca="1" si="30"/>
        <v/>
      </c>
      <c r="R104" s="47" t="str">
        <f t="shared" ca="1" si="30"/>
        <v/>
      </c>
      <c r="S104" s="47" t="str">
        <f t="shared" ca="1" si="30"/>
        <v/>
      </c>
      <c r="T104" s="47" t="str">
        <f t="shared" ca="1" si="30"/>
        <v/>
      </c>
      <c r="U104" s="47" t="str">
        <f t="shared" ca="1" si="30"/>
        <v/>
      </c>
      <c r="V104" s="47" t="str">
        <f t="shared" ca="1" si="31"/>
        <v/>
      </c>
      <c r="W104" s="47" t="str">
        <f t="shared" ca="1" si="31"/>
        <v/>
      </c>
      <c r="X104" s="47" t="str">
        <f t="shared" ca="1" si="31"/>
        <v/>
      </c>
      <c r="Y104" s="47" t="str">
        <f t="shared" ca="1" si="31"/>
        <v/>
      </c>
      <c r="Z104" s="47" t="str">
        <f t="shared" ca="1" si="31"/>
        <v/>
      </c>
      <c r="AA104" s="47" t="str">
        <f t="shared" ca="1" si="31"/>
        <v/>
      </c>
      <c r="AB104" s="47" t="str">
        <f t="shared" ca="1" si="31"/>
        <v/>
      </c>
      <c r="AC104" s="47" t="str">
        <f t="shared" ca="1" si="31"/>
        <v/>
      </c>
    </row>
    <row r="105" spans="1:29" x14ac:dyDescent="0.3">
      <c r="A105" s="5">
        <f t="shared" si="22"/>
        <v>95</v>
      </c>
      <c r="B105" s="45" t="str">
        <f t="shared" ca="1" si="29"/>
        <v/>
      </c>
      <c r="C105" s="46" t="str">
        <f t="shared" ca="1" si="29"/>
        <v/>
      </c>
      <c r="D105" s="46" t="str">
        <f t="shared" ca="1" si="29"/>
        <v/>
      </c>
      <c r="E105" s="45" t="str">
        <f t="shared" ca="1" si="29"/>
        <v/>
      </c>
      <c r="F105" s="46" t="str">
        <f t="shared" ca="1" si="29"/>
        <v/>
      </c>
      <c r="G105" s="46" t="str">
        <f t="shared" ca="1" si="29"/>
        <v/>
      </c>
      <c r="H105" s="46" t="str">
        <f t="shared" ca="1" si="29"/>
        <v/>
      </c>
      <c r="I105" s="46" t="str">
        <f t="shared" ca="1" si="29"/>
        <v/>
      </c>
      <c r="J105" s="47" t="str">
        <f t="shared" ca="1" si="29"/>
        <v/>
      </c>
      <c r="K105" s="47" t="str">
        <f t="shared" ca="1" si="29"/>
        <v/>
      </c>
      <c r="L105" s="47" t="str">
        <f t="shared" ca="1" si="30"/>
        <v/>
      </c>
      <c r="M105" s="47" t="str">
        <f t="shared" ca="1" si="30"/>
        <v/>
      </c>
      <c r="N105" s="47" t="str">
        <f t="shared" ca="1" si="30"/>
        <v/>
      </c>
      <c r="O105" s="47" t="str">
        <f t="shared" ca="1" si="30"/>
        <v/>
      </c>
      <c r="P105" s="47" t="str">
        <f t="shared" ca="1" si="30"/>
        <v/>
      </c>
      <c r="Q105" s="47" t="str">
        <f t="shared" ca="1" si="30"/>
        <v/>
      </c>
      <c r="R105" s="47" t="str">
        <f t="shared" ca="1" si="30"/>
        <v/>
      </c>
      <c r="S105" s="47" t="str">
        <f t="shared" ca="1" si="30"/>
        <v/>
      </c>
      <c r="T105" s="47" t="str">
        <f t="shared" ca="1" si="30"/>
        <v/>
      </c>
      <c r="U105" s="47" t="str">
        <f t="shared" ca="1" si="30"/>
        <v/>
      </c>
      <c r="V105" s="47" t="str">
        <f t="shared" ca="1" si="31"/>
        <v/>
      </c>
      <c r="W105" s="47" t="str">
        <f t="shared" ca="1" si="31"/>
        <v/>
      </c>
      <c r="X105" s="47" t="str">
        <f t="shared" ca="1" si="31"/>
        <v/>
      </c>
      <c r="Y105" s="47" t="str">
        <f t="shared" ca="1" si="31"/>
        <v/>
      </c>
      <c r="Z105" s="47" t="str">
        <f t="shared" ca="1" si="31"/>
        <v/>
      </c>
      <c r="AA105" s="47" t="str">
        <f t="shared" ca="1" si="31"/>
        <v/>
      </c>
      <c r="AB105" s="47" t="str">
        <f t="shared" ca="1" si="31"/>
        <v/>
      </c>
      <c r="AC105" s="47" t="str">
        <f t="shared" ca="1" si="31"/>
        <v/>
      </c>
    </row>
    <row r="106" spans="1:29" x14ac:dyDescent="0.3">
      <c r="A106" s="5">
        <f t="shared" si="22"/>
        <v>96</v>
      </c>
      <c r="B106" s="45" t="str">
        <f t="shared" ca="1" si="29"/>
        <v/>
      </c>
      <c r="C106" s="46" t="str">
        <f t="shared" ca="1" si="29"/>
        <v/>
      </c>
      <c r="D106" s="46" t="str">
        <f t="shared" ca="1" si="29"/>
        <v/>
      </c>
      <c r="E106" s="45" t="str">
        <f t="shared" ca="1" si="29"/>
        <v/>
      </c>
      <c r="F106" s="46" t="str">
        <f t="shared" ca="1" si="29"/>
        <v/>
      </c>
      <c r="G106" s="46" t="str">
        <f t="shared" ca="1" si="29"/>
        <v/>
      </c>
      <c r="H106" s="46" t="str">
        <f t="shared" ca="1" si="29"/>
        <v/>
      </c>
      <c r="I106" s="46" t="str">
        <f t="shared" ca="1" si="29"/>
        <v/>
      </c>
      <c r="J106" s="47" t="str">
        <f t="shared" ca="1" si="29"/>
        <v/>
      </c>
      <c r="K106" s="47" t="str">
        <f t="shared" ca="1" si="29"/>
        <v/>
      </c>
      <c r="L106" s="47" t="str">
        <f t="shared" ca="1" si="30"/>
        <v/>
      </c>
      <c r="M106" s="47" t="str">
        <f t="shared" ca="1" si="30"/>
        <v/>
      </c>
      <c r="N106" s="47" t="str">
        <f t="shared" ca="1" si="30"/>
        <v/>
      </c>
      <c r="O106" s="47" t="str">
        <f t="shared" ca="1" si="30"/>
        <v/>
      </c>
      <c r="P106" s="47" t="str">
        <f t="shared" ca="1" si="30"/>
        <v/>
      </c>
      <c r="Q106" s="47" t="str">
        <f t="shared" ca="1" si="30"/>
        <v/>
      </c>
      <c r="R106" s="47" t="str">
        <f t="shared" ca="1" si="30"/>
        <v/>
      </c>
      <c r="S106" s="47" t="str">
        <f t="shared" ca="1" si="30"/>
        <v/>
      </c>
      <c r="T106" s="47" t="str">
        <f t="shared" ca="1" si="30"/>
        <v/>
      </c>
      <c r="U106" s="47" t="str">
        <f t="shared" ca="1" si="30"/>
        <v/>
      </c>
      <c r="V106" s="47" t="str">
        <f t="shared" ca="1" si="31"/>
        <v/>
      </c>
      <c r="W106" s="47" t="str">
        <f t="shared" ca="1" si="31"/>
        <v/>
      </c>
      <c r="X106" s="47" t="str">
        <f t="shared" ca="1" si="31"/>
        <v/>
      </c>
      <c r="Y106" s="47" t="str">
        <f t="shared" ca="1" si="31"/>
        <v/>
      </c>
      <c r="Z106" s="47" t="str">
        <f t="shared" ca="1" si="31"/>
        <v/>
      </c>
      <c r="AA106" s="47" t="str">
        <f t="shared" ca="1" si="31"/>
        <v/>
      </c>
      <c r="AB106" s="47" t="str">
        <f t="shared" ca="1" si="31"/>
        <v/>
      </c>
      <c r="AC106" s="47" t="str">
        <f t="shared" ca="1" si="31"/>
        <v/>
      </c>
    </row>
    <row r="107" spans="1:29" x14ac:dyDescent="0.3">
      <c r="A107" s="5">
        <f t="shared" si="22"/>
        <v>97</v>
      </c>
      <c r="B107" s="45" t="str">
        <f t="shared" ca="1" si="29"/>
        <v/>
      </c>
      <c r="C107" s="46" t="str">
        <f t="shared" ca="1" si="29"/>
        <v/>
      </c>
      <c r="D107" s="46" t="str">
        <f t="shared" ca="1" si="29"/>
        <v/>
      </c>
      <c r="E107" s="45" t="str">
        <f t="shared" ca="1" si="29"/>
        <v/>
      </c>
      <c r="F107" s="46" t="str">
        <f t="shared" ca="1" si="29"/>
        <v/>
      </c>
      <c r="G107" s="46" t="str">
        <f t="shared" ca="1" si="29"/>
        <v/>
      </c>
      <c r="H107" s="46" t="str">
        <f t="shared" ca="1" si="29"/>
        <v/>
      </c>
      <c r="I107" s="46" t="str">
        <f t="shared" ca="1" si="29"/>
        <v/>
      </c>
      <c r="J107" s="47" t="str">
        <f t="shared" ca="1" si="29"/>
        <v/>
      </c>
      <c r="K107" s="47" t="str">
        <f t="shared" ca="1" si="29"/>
        <v/>
      </c>
      <c r="L107" s="47" t="str">
        <f t="shared" ca="1" si="30"/>
        <v/>
      </c>
      <c r="M107" s="47" t="str">
        <f t="shared" ca="1" si="30"/>
        <v/>
      </c>
      <c r="N107" s="47" t="str">
        <f t="shared" ca="1" si="30"/>
        <v/>
      </c>
      <c r="O107" s="47" t="str">
        <f t="shared" ca="1" si="30"/>
        <v/>
      </c>
      <c r="P107" s="47" t="str">
        <f t="shared" ca="1" si="30"/>
        <v/>
      </c>
      <c r="Q107" s="47" t="str">
        <f t="shared" ca="1" si="30"/>
        <v/>
      </c>
      <c r="R107" s="47" t="str">
        <f t="shared" ca="1" si="30"/>
        <v/>
      </c>
      <c r="S107" s="47" t="str">
        <f t="shared" ca="1" si="30"/>
        <v/>
      </c>
      <c r="T107" s="47" t="str">
        <f t="shared" ca="1" si="30"/>
        <v/>
      </c>
      <c r="U107" s="47" t="str">
        <f t="shared" ca="1" si="30"/>
        <v/>
      </c>
      <c r="V107" s="47" t="str">
        <f t="shared" ca="1" si="31"/>
        <v/>
      </c>
      <c r="W107" s="47" t="str">
        <f t="shared" ca="1" si="31"/>
        <v/>
      </c>
      <c r="X107" s="47" t="str">
        <f t="shared" ca="1" si="31"/>
        <v/>
      </c>
      <c r="Y107" s="47" t="str">
        <f t="shared" ca="1" si="31"/>
        <v/>
      </c>
      <c r="Z107" s="47" t="str">
        <f t="shared" ca="1" si="31"/>
        <v/>
      </c>
      <c r="AA107" s="47" t="str">
        <f t="shared" ca="1" si="31"/>
        <v/>
      </c>
      <c r="AB107" s="47" t="str">
        <f t="shared" ca="1" si="31"/>
        <v/>
      </c>
      <c r="AC107" s="47" t="str">
        <f t="shared" ca="1" si="31"/>
        <v/>
      </c>
    </row>
    <row r="108" spans="1:29" x14ac:dyDescent="0.3">
      <c r="A108" s="5">
        <f t="shared" si="22"/>
        <v>98</v>
      </c>
      <c r="B108" s="45" t="str">
        <f t="shared" ca="1" si="29"/>
        <v/>
      </c>
      <c r="C108" s="46" t="str">
        <f t="shared" ca="1" si="29"/>
        <v/>
      </c>
      <c r="D108" s="46" t="str">
        <f t="shared" ca="1" si="29"/>
        <v/>
      </c>
      <c r="E108" s="45" t="str">
        <f t="shared" ca="1" si="29"/>
        <v/>
      </c>
      <c r="F108" s="46" t="str">
        <f t="shared" ca="1" si="29"/>
        <v/>
      </c>
      <c r="G108" s="46" t="str">
        <f t="shared" ca="1" si="29"/>
        <v/>
      </c>
      <c r="H108" s="46" t="str">
        <f t="shared" ca="1" si="29"/>
        <v/>
      </c>
      <c r="I108" s="46" t="str">
        <f t="shared" ca="1" si="29"/>
        <v/>
      </c>
      <c r="J108" s="47" t="str">
        <f t="shared" ca="1" si="29"/>
        <v/>
      </c>
      <c r="K108" s="47" t="str">
        <f t="shared" ca="1" si="29"/>
        <v/>
      </c>
      <c r="L108" s="47" t="str">
        <f t="shared" ca="1" si="30"/>
        <v/>
      </c>
      <c r="M108" s="47" t="str">
        <f t="shared" ca="1" si="30"/>
        <v/>
      </c>
      <c r="N108" s="47" t="str">
        <f t="shared" ca="1" si="30"/>
        <v/>
      </c>
      <c r="O108" s="47" t="str">
        <f t="shared" ca="1" si="30"/>
        <v/>
      </c>
      <c r="P108" s="47" t="str">
        <f t="shared" ca="1" si="30"/>
        <v/>
      </c>
      <c r="Q108" s="47" t="str">
        <f t="shared" ca="1" si="30"/>
        <v/>
      </c>
      <c r="R108" s="47" t="str">
        <f t="shared" ca="1" si="30"/>
        <v/>
      </c>
      <c r="S108" s="47" t="str">
        <f t="shared" ca="1" si="30"/>
        <v/>
      </c>
      <c r="T108" s="47" t="str">
        <f t="shared" ca="1" si="30"/>
        <v/>
      </c>
      <c r="U108" s="47" t="str">
        <f t="shared" ca="1" si="30"/>
        <v/>
      </c>
      <c r="V108" s="47" t="str">
        <f t="shared" ca="1" si="31"/>
        <v/>
      </c>
      <c r="W108" s="47" t="str">
        <f t="shared" ca="1" si="31"/>
        <v/>
      </c>
      <c r="X108" s="47" t="str">
        <f t="shared" ca="1" si="31"/>
        <v/>
      </c>
      <c r="Y108" s="47" t="str">
        <f t="shared" ca="1" si="31"/>
        <v/>
      </c>
      <c r="Z108" s="47" t="str">
        <f t="shared" ca="1" si="31"/>
        <v/>
      </c>
      <c r="AA108" s="47" t="str">
        <f t="shared" ca="1" si="31"/>
        <v/>
      </c>
      <c r="AB108" s="47" t="str">
        <f t="shared" ca="1" si="31"/>
        <v/>
      </c>
      <c r="AC108" s="47" t="str">
        <f t="shared" ca="1" si="31"/>
        <v/>
      </c>
    </row>
    <row r="109" spans="1:29" x14ac:dyDescent="0.3">
      <c r="A109" s="5">
        <f t="shared" si="22"/>
        <v>99</v>
      </c>
      <c r="B109" s="45" t="str">
        <f t="shared" ca="1" si="29"/>
        <v/>
      </c>
      <c r="C109" s="46" t="str">
        <f t="shared" ca="1" si="29"/>
        <v/>
      </c>
      <c r="D109" s="46" t="str">
        <f t="shared" ca="1" si="29"/>
        <v/>
      </c>
      <c r="E109" s="45" t="str">
        <f t="shared" ca="1" si="29"/>
        <v/>
      </c>
      <c r="F109" s="46" t="str">
        <f t="shared" ca="1" si="29"/>
        <v/>
      </c>
      <c r="G109" s="46" t="str">
        <f t="shared" ca="1" si="29"/>
        <v/>
      </c>
      <c r="H109" s="46" t="str">
        <f t="shared" ca="1" si="29"/>
        <v/>
      </c>
      <c r="I109" s="46" t="str">
        <f t="shared" ca="1" si="29"/>
        <v/>
      </c>
      <c r="J109" s="47" t="str">
        <f t="shared" ca="1" si="29"/>
        <v/>
      </c>
      <c r="K109" s="47" t="str">
        <f t="shared" ca="1" si="29"/>
        <v/>
      </c>
      <c r="L109" s="47" t="str">
        <f t="shared" ca="1" si="30"/>
        <v/>
      </c>
      <c r="M109" s="47" t="str">
        <f t="shared" ca="1" si="30"/>
        <v/>
      </c>
      <c r="N109" s="47" t="str">
        <f t="shared" ca="1" si="30"/>
        <v/>
      </c>
      <c r="O109" s="47" t="str">
        <f t="shared" ca="1" si="30"/>
        <v/>
      </c>
      <c r="P109" s="47" t="str">
        <f t="shared" ca="1" si="30"/>
        <v/>
      </c>
      <c r="Q109" s="47" t="str">
        <f t="shared" ca="1" si="30"/>
        <v/>
      </c>
      <c r="R109" s="47" t="str">
        <f t="shared" ca="1" si="30"/>
        <v/>
      </c>
      <c r="S109" s="47" t="str">
        <f t="shared" ca="1" si="30"/>
        <v/>
      </c>
      <c r="T109" s="47" t="str">
        <f t="shared" ca="1" si="30"/>
        <v/>
      </c>
      <c r="U109" s="47" t="str">
        <f t="shared" ca="1" si="30"/>
        <v/>
      </c>
      <c r="V109" s="47" t="str">
        <f t="shared" ca="1" si="31"/>
        <v/>
      </c>
      <c r="W109" s="47" t="str">
        <f t="shared" ca="1" si="31"/>
        <v/>
      </c>
      <c r="X109" s="47" t="str">
        <f t="shared" ca="1" si="31"/>
        <v/>
      </c>
      <c r="Y109" s="47" t="str">
        <f t="shared" ca="1" si="31"/>
        <v/>
      </c>
      <c r="Z109" s="47" t="str">
        <f t="shared" ca="1" si="31"/>
        <v/>
      </c>
      <c r="AA109" s="47" t="str">
        <f t="shared" ca="1" si="31"/>
        <v/>
      </c>
      <c r="AB109" s="47" t="str">
        <f t="shared" ca="1" si="31"/>
        <v/>
      </c>
      <c r="AC109" s="47" t="str">
        <f t="shared" ca="1" si="31"/>
        <v/>
      </c>
    </row>
    <row r="110" spans="1:29" x14ac:dyDescent="0.3">
      <c r="A110" s="5">
        <f t="shared" si="22"/>
        <v>100</v>
      </c>
      <c r="B110" s="45" t="str">
        <f t="shared" ca="1" si="29"/>
        <v/>
      </c>
      <c r="C110" s="46" t="str">
        <f t="shared" ca="1" si="29"/>
        <v/>
      </c>
      <c r="D110" s="46" t="str">
        <f t="shared" ca="1" si="29"/>
        <v/>
      </c>
      <c r="E110" s="45" t="str">
        <f t="shared" ca="1" si="29"/>
        <v/>
      </c>
      <c r="F110" s="46" t="str">
        <f t="shared" ca="1" si="29"/>
        <v/>
      </c>
      <c r="G110" s="46" t="str">
        <f t="shared" ca="1" si="29"/>
        <v/>
      </c>
      <c r="H110" s="46" t="str">
        <f t="shared" ca="1" si="29"/>
        <v/>
      </c>
      <c r="I110" s="46" t="str">
        <f t="shared" ca="1" si="29"/>
        <v/>
      </c>
      <c r="J110" s="47" t="str">
        <f t="shared" ca="1" si="29"/>
        <v/>
      </c>
      <c r="K110" s="47" t="str">
        <f t="shared" ca="1" si="29"/>
        <v/>
      </c>
      <c r="L110" s="47" t="str">
        <f t="shared" ca="1" si="30"/>
        <v/>
      </c>
      <c r="M110" s="47" t="str">
        <f t="shared" ca="1" si="30"/>
        <v/>
      </c>
      <c r="N110" s="47" t="str">
        <f t="shared" ca="1" si="30"/>
        <v/>
      </c>
      <c r="O110" s="47" t="str">
        <f t="shared" ca="1" si="30"/>
        <v/>
      </c>
      <c r="P110" s="47" t="str">
        <f t="shared" ca="1" si="30"/>
        <v/>
      </c>
      <c r="Q110" s="47" t="str">
        <f t="shared" ca="1" si="30"/>
        <v/>
      </c>
      <c r="R110" s="47" t="str">
        <f t="shared" ca="1" si="30"/>
        <v/>
      </c>
      <c r="S110" s="47" t="str">
        <f t="shared" ca="1" si="30"/>
        <v/>
      </c>
      <c r="T110" s="47" t="str">
        <f t="shared" ca="1" si="30"/>
        <v/>
      </c>
      <c r="U110" s="47" t="str">
        <f t="shared" ca="1" si="30"/>
        <v/>
      </c>
      <c r="V110" s="47" t="str">
        <f t="shared" ca="1" si="31"/>
        <v/>
      </c>
      <c r="W110" s="47" t="str">
        <f t="shared" ca="1" si="31"/>
        <v/>
      </c>
      <c r="X110" s="47" t="str">
        <f t="shared" ca="1" si="31"/>
        <v/>
      </c>
      <c r="Y110" s="47" t="str">
        <f t="shared" ca="1" si="31"/>
        <v/>
      </c>
      <c r="Z110" s="47" t="str">
        <f t="shared" ca="1" si="31"/>
        <v/>
      </c>
      <c r="AA110" s="47" t="str">
        <f t="shared" ca="1" si="31"/>
        <v/>
      </c>
      <c r="AB110" s="47" t="str">
        <f t="shared" ca="1" si="31"/>
        <v/>
      </c>
      <c r="AC110" s="47" t="str">
        <f t="shared" ca="1" si="31"/>
        <v/>
      </c>
    </row>
    <row r="111" spans="1:29" x14ac:dyDescent="0.3">
      <c r="A111" s="5">
        <f t="shared" si="22"/>
        <v>101</v>
      </c>
      <c r="B111" s="45" t="str">
        <f t="shared" ca="1" si="29"/>
        <v/>
      </c>
      <c r="C111" s="46" t="str">
        <f t="shared" ca="1" si="29"/>
        <v/>
      </c>
      <c r="D111" s="46" t="str">
        <f t="shared" ca="1" si="29"/>
        <v/>
      </c>
      <c r="E111" s="45" t="str">
        <f t="shared" ca="1" si="29"/>
        <v/>
      </c>
      <c r="F111" s="46" t="str">
        <f t="shared" ca="1" si="29"/>
        <v/>
      </c>
      <c r="G111" s="46" t="str">
        <f t="shared" ca="1" si="29"/>
        <v/>
      </c>
      <c r="H111" s="46" t="str">
        <f t="shared" ca="1" si="29"/>
        <v/>
      </c>
      <c r="I111" s="46" t="str">
        <f t="shared" ca="1" si="29"/>
        <v/>
      </c>
      <c r="J111" s="47" t="str">
        <f t="shared" ca="1" si="29"/>
        <v/>
      </c>
      <c r="K111" s="47" t="str">
        <f t="shared" ca="1" si="29"/>
        <v/>
      </c>
      <c r="L111" s="47" t="str">
        <f t="shared" ca="1" si="30"/>
        <v/>
      </c>
      <c r="M111" s="47" t="str">
        <f t="shared" ca="1" si="30"/>
        <v/>
      </c>
      <c r="N111" s="47" t="str">
        <f t="shared" ca="1" si="30"/>
        <v/>
      </c>
      <c r="O111" s="47" t="str">
        <f t="shared" ca="1" si="30"/>
        <v/>
      </c>
      <c r="P111" s="47" t="str">
        <f t="shared" ca="1" si="30"/>
        <v/>
      </c>
      <c r="Q111" s="47" t="str">
        <f t="shared" ca="1" si="30"/>
        <v/>
      </c>
      <c r="R111" s="47" t="str">
        <f t="shared" ca="1" si="30"/>
        <v/>
      </c>
      <c r="S111" s="47" t="str">
        <f t="shared" ca="1" si="30"/>
        <v/>
      </c>
      <c r="T111" s="47" t="str">
        <f t="shared" ca="1" si="30"/>
        <v/>
      </c>
      <c r="U111" s="47" t="str">
        <f t="shared" ca="1" si="30"/>
        <v/>
      </c>
      <c r="V111" s="47" t="str">
        <f t="shared" ca="1" si="31"/>
        <v/>
      </c>
      <c r="W111" s="47" t="str">
        <f t="shared" ca="1" si="31"/>
        <v/>
      </c>
      <c r="X111" s="47" t="str">
        <f t="shared" ca="1" si="31"/>
        <v/>
      </c>
      <c r="Y111" s="47" t="str">
        <f t="shared" ca="1" si="31"/>
        <v/>
      </c>
      <c r="Z111" s="47" t="str">
        <f t="shared" ca="1" si="31"/>
        <v/>
      </c>
      <c r="AA111" s="47" t="str">
        <f t="shared" ca="1" si="31"/>
        <v/>
      </c>
      <c r="AB111" s="47" t="str">
        <f t="shared" ca="1" si="31"/>
        <v/>
      </c>
      <c r="AC111" s="47" t="str">
        <f t="shared" ca="1" si="31"/>
        <v/>
      </c>
    </row>
    <row r="112" spans="1:29" x14ac:dyDescent="0.3">
      <c r="A112" s="5">
        <f t="shared" si="22"/>
        <v>102</v>
      </c>
      <c r="B112" s="45" t="str">
        <f t="shared" ref="B112:K121" ca="1" si="32">IFERROR(IF(INDIRECT("raw!R"&amp;$A112&amp;"C"&amp;B$10,FALSE)&lt;&gt;"",INDIRECT("raw!R"&amp;$A112&amp;"C"&amp;B$10,FALSE),""),"")</f>
        <v/>
      </c>
      <c r="C112" s="46" t="str">
        <f t="shared" ca="1" si="32"/>
        <v/>
      </c>
      <c r="D112" s="46" t="str">
        <f t="shared" ca="1" si="32"/>
        <v/>
      </c>
      <c r="E112" s="45" t="str">
        <f t="shared" ca="1" si="32"/>
        <v/>
      </c>
      <c r="F112" s="46" t="str">
        <f t="shared" ca="1" si="32"/>
        <v/>
      </c>
      <c r="G112" s="46" t="str">
        <f t="shared" ca="1" si="32"/>
        <v/>
      </c>
      <c r="H112" s="46" t="str">
        <f t="shared" ca="1" si="32"/>
        <v/>
      </c>
      <c r="I112" s="46" t="str">
        <f t="shared" ca="1" si="32"/>
        <v/>
      </c>
      <c r="J112" s="47" t="str">
        <f t="shared" ca="1" si="32"/>
        <v/>
      </c>
      <c r="K112" s="47" t="str">
        <f t="shared" ca="1" si="32"/>
        <v/>
      </c>
      <c r="L112" s="47" t="str">
        <f t="shared" ref="L112:U121" ca="1" si="33">IFERROR(IF(INDIRECT("raw!R"&amp;$A112&amp;"C"&amp;L$10,FALSE)&lt;&gt;"",INDIRECT("raw!R"&amp;$A112&amp;"C"&amp;L$10,FALSE),""),"")</f>
        <v/>
      </c>
      <c r="M112" s="47" t="str">
        <f t="shared" ca="1" si="33"/>
        <v/>
      </c>
      <c r="N112" s="47" t="str">
        <f t="shared" ca="1" si="33"/>
        <v/>
      </c>
      <c r="O112" s="47" t="str">
        <f t="shared" ca="1" si="33"/>
        <v/>
      </c>
      <c r="P112" s="47" t="str">
        <f t="shared" ca="1" si="33"/>
        <v/>
      </c>
      <c r="Q112" s="47" t="str">
        <f t="shared" ca="1" si="33"/>
        <v/>
      </c>
      <c r="R112" s="47" t="str">
        <f t="shared" ca="1" si="33"/>
        <v/>
      </c>
      <c r="S112" s="47" t="str">
        <f t="shared" ca="1" si="33"/>
        <v/>
      </c>
      <c r="T112" s="47" t="str">
        <f t="shared" ca="1" si="33"/>
        <v/>
      </c>
      <c r="U112" s="47" t="str">
        <f t="shared" ca="1" si="33"/>
        <v/>
      </c>
      <c r="V112" s="47" t="str">
        <f t="shared" ref="V112:AC121" ca="1" si="34">IFERROR(IF(INDIRECT("raw!R"&amp;$A112&amp;"C"&amp;V$10,FALSE)&lt;&gt;"",INDIRECT("raw!R"&amp;$A112&amp;"C"&amp;V$10,FALSE),""),"")</f>
        <v/>
      </c>
      <c r="W112" s="47" t="str">
        <f t="shared" ca="1" si="34"/>
        <v/>
      </c>
      <c r="X112" s="47" t="str">
        <f t="shared" ca="1" si="34"/>
        <v/>
      </c>
      <c r="Y112" s="47" t="str">
        <f t="shared" ca="1" si="34"/>
        <v/>
      </c>
      <c r="Z112" s="47" t="str">
        <f t="shared" ca="1" si="34"/>
        <v/>
      </c>
      <c r="AA112" s="47" t="str">
        <f t="shared" ca="1" si="34"/>
        <v/>
      </c>
      <c r="AB112" s="47" t="str">
        <f t="shared" ca="1" si="34"/>
        <v/>
      </c>
      <c r="AC112" s="47" t="str">
        <f t="shared" ca="1" si="34"/>
        <v/>
      </c>
    </row>
    <row r="113" spans="1:29" x14ac:dyDescent="0.3">
      <c r="A113" s="5">
        <f t="shared" si="22"/>
        <v>103</v>
      </c>
      <c r="B113" s="45" t="str">
        <f t="shared" ca="1" si="32"/>
        <v/>
      </c>
      <c r="C113" s="46" t="str">
        <f t="shared" ca="1" si="32"/>
        <v/>
      </c>
      <c r="D113" s="46" t="str">
        <f t="shared" ca="1" si="32"/>
        <v/>
      </c>
      <c r="E113" s="45" t="str">
        <f t="shared" ca="1" si="32"/>
        <v/>
      </c>
      <c r="F113" s="46" t="str">
        <f t="shared" ca="1" si="32"/>
        <v/>
      </c>
      <c r="G113" s="46" t="str">
        <f t="shared" ca="1" si="32"/>
        <v/>
      </c>
      <c r="H113" s="46" t="str">
        <f t="shared" ca="1" si="32"/>
        <v/>
      </c>
      <c r="I113" s="46" t="str">
        <f t="shared" ca="1" si="32"/>
        <v/>
      </c>
      <c r="J113" s="47" t="str">
        <f t="shared" ca="1" si="32"/>
        <v/>
      </c>
      <c r="K113" s="47" t="str">
        <f t="shared" ca="1" si="32"/>
        <v/>
      </c>
      <c r="L113" s="47" t="str">
        <f t="shared" ca="1" si="33"/>
        <v/>
      </c>
      <c r="M113" s="47" t="str">
        <f t="shared" ca="1" si="33"/>
        <v/>
      </c>
      <c r="N113" s="47" t="str">
        <f t="shared" ca="1" si="33"/>
        <v/>
      </c>
      <c r="O113" s="47" t="str">
        <f t="shared" ca="1" si="33"/>
        <v/>
      </c>
      <c r="P113" s="47" t="str">
        <f t="shared" ca="1" si="33"/>
        <v/>
      </c>
      <c r="Q113" s="47" t="str">
        <f t="shared" ca="1" si="33"/>
        <v/>
      </c>
      <c r="R113" s="47" t="str">
        <f t="shared" ca="1" si="33"/>
        <v/>
      </c>
      <c r="S113" s="47" t="str">
        <f t="shared" ca="1" si="33"/>
        <v/>
      </c>
      <c r="T113" s="47" t="str">
        <f t="shared" ca="1" si="33"/>
        <v/>
      </c>
      <c r="U113" s="47" t="str">
        <f t="shared" ca="1" si="33"/>
        <v/>
      </c>
      <c r="V113" s="47" t="str">
        <f t="shared" ca="1" si="34"/>
        <v/>
      </c>
      <c r="W113" s="47" t="str">
        <f t="shared" ca="1" si="34"/>
        <v/>
      </c>
      <c r="X113" s="47" t="str">
        <f t="shared" ca="1" si="34"/>
        <v/>
      </c>
      <c r="Y113" s="47" t="str">
        <f t="shared" ca="1" si="34"/>
        <v/>
      </c>
      <c r="Z113" s="47" t="str">
        <f t="shared" ca="1" si="34"/>
        <v/>
      </c>
      <c r="AA113" s="47" t="str">
        <f t="shared" ca="1" si="34"/>
        <v/>
      </c>
      <c r="AB113" s="47" t="str">
        <f t="shared" ca="1" si="34"/>
        <v/>
      </c>
      <c r="AC113" s="47" t="str">
        <f t="shared" ca="1" si="34"/>
        <v/>
      </c>
    </row>
    <row r="114" spans="1:29" x14ac:dyDescent="0.3">
      <c r="A114" s="5">
        <f t="shared" si="22"/>
        <v>104</v>
      </c>
      <c r="B114" s="45" t="str">
        <f t="shared" ca="1" si="32"/>
        <v/>
      </c>
      <c r="C114" s="46" t="str">
        <f t="shared" ca="1" si="32"/>
        <v/>
      </c>
      <c r="D114" s="46" t="str">
        <f t="shared" ca="1" si="32"/>
        <v/>
      </c>
      <c r="E114" s="45" t="str">
        <f t="shared" ca="1" si="32"/>
        <v/>
      </c>
      <c r="F114" s="46" t="str">
        <f t="shared" ca="1" si="32"/>
        <v/>
      </c>
      <c r="G114" s="46" t="str">
        <f t="shared" ca="1" si="32"/>
        <v/>
      </c>
      <c r="H114" s="46" t="str">
        <f t="shared" ca="1" si="32"/>
        <v/>
      </c>
      <c r="I114" s="46" t="str">
        <f t="shared" ca="1" si="32"/>
        <v/>
      </c>
      <c r="J114" s="47" t="str">
        <f t="shared" ca="1" si="32"/>
        <v/>
      </c>
      <c r="K114" s="47" t="str">
        <f t="shared" ca="1" si="32"/>
        <v/>
      </c>
      <c r="L114" s="47" t="str">
        <f t="shared" ca="1" si="33"/>
        <v/>
      </c>
      <c r="M114" s="47" t="str">
        <f t="shared" ca="1" si="33"/>
        <v/>
      </c>
      <c r="N114" s="47" t="str">
        <f t="shared" ca="1" si="33"/>
        <v/>
      </c>
      <c r="O114" s="47" t="str">
        <f t="shared" ca="1" si="33"/>
        <v/>
      </c>
      <c r="P114" s="47" t="str">
        <f t="shared" ca="1" si="33"/>
        <v/>
      </c>
      <c r="Q114" s="47" t="str">
        <f t="shared" ca="1" si="33"/>
        <v/>
      </c>
      <c r="R114" s="47" t="str">
        <f t="shared" ca="1" si="33"/>
        <v/>
      </c>
      <c r="S114" s="47" t="str">
        <f t="shared" ca="1" si="33"/>
        <v/>
      </c>
      <c r="T114" s="47" t="str">
        <f t="shared" ca="1" si="33"/>
        <v/>
      </c>
      <c r="U114" s="47" t="str">
        <f t="shared" ca="1" si="33"/>
        <v/>
      </c>
      <c r="V114" s="47" t="str">
        <f t="shared" ca="1" si="34"/>
        <v/>
      </c>
      <c r="W114" s="47" t="str">
        <f t="shared" ca="1" si="34"/>
        <v/>
      </c>
      <c r="X114" s="47" t="str">
        <f t="shared" ca="1" si="34"/>
        <v/>
      </c>
      <c r="Y114" s="47" t="str">
        <f t="shared" ca="1" si="34"/>
        <v/>
      </c>
      <c r="Z114" s="47" t="str">
        <f t="shared" ca="1" si="34"/>
        <v/>
      </c>
      <c r="AA114" s="47" t="str">
        <f t="shared" ca="1" si="34"/>
        <v/>
      </c>
      <c r="AB114" s="47" t="str">
        <f t="shared" ca="1" si="34"/>
        <v/>
      </c>
      <c r="AC114" s="47" t="str">
        <f t="shared" ca="1" si="34"/>
        <v/>
      </c>
    </row>
    <row r="115" spans="1:29" x14ac:dyDescent="0.3">
      <c r="A115" s="5">
        <f t="shared" si="22"/>
        <v>105</v>
      </c>
      <c r="B115" s="45" t="str">
        <f t="shared" ca="1" si="32"/>
        <v/>
      </c>
      <c r="C115" s="46" t="str">
        <f t="shared" ca="1" si="32"/>
        <v/>
      </c>
      <c r="D115" s="46" t="str">
        <f t="shared" ca="1" si="32"/>
        <v/>
      </c>
      <c r="E115" s="45" t="str">
        <f t="shared" ca="1" si="32"/>
        <v/>
      </c>
      <c r="F115" s="46" t="str">
        <f t="shared" ca="1" si="32"/>
        <v/>
      </c>
      <c r="G115" s="46" t="str">
        <f t="shared" ca="1" si="32"/>
        <v/>
      </c>
      <c r="H115" s="46" t="str">
        <f t="shared" ca="1" si="32"/>
        <v/>
      </c>
      <c r="I115" s="46" t="str">
        <f t="shared" ca="1" si="32"/>
        <v/>
      </c>
      <c r="J115" s="47" t="str">
        <f t="shared" ca="1" si="32"/>
        <v/>
      </c>
      <c r="K115" s="47" t="str">
        <f t="shared" ca="1" si="32"/>
        <v/>
      </c>
      <c r="L115" s="47" t="str">
        <f t="shared" ca="1" si="33"/>
        <v/>
      </c>
      <c r="M115" s="47" t="str">
        <f t="shared" ca="1" si="33"/>
        <v/>
      </c>
      <c r="N115" s="47" t="str">
        <f t="shared" ca="1" si="33"/>
        <v/>
      </c>
      <c r="O115" s="47" t="str">
        <f t="shared" ca="1" si="33"/>
        <v/>
      </c>
      <c r="P115" s="47" t="str">
        <f t="shared" ca="1" si="33"/>
        <v/>
      </c>
      <c r="Q115" s="47" t="str">
        <f t="shared" ca="1" si="33"/>
        <v/>
      </c>
      <c r="R115" s="47" t="str">
        <f t="shared" ca="1" si="33"/>
        <v/>
      </c>
      <c r="S115" s="47" t="str">
        <f t="shared" ca="1" si="33"/>
        <v/>
      </c>
      <c r="T115" s="47" t="str">
        <f t="shared" ca="1" si="33"/>
        <v/>
      </c>
      <c r="U115" s="47" t="str">
        <f t="shared" ca="1" si="33"/>
        <v/>
      </c>
      <c r="V115" s="47" t="str">
        <f t="shared" ca="1" si="34"/>
        <v/>
      </c>
      <c r="W115" s="47" t="str">
        <f t="shared" ca="1" si="34"/>
        <v/>
      </c>
      <c r="X115" s="47" t="str">
        <f t="shared" ca="1" si="34"/>
        <v/>
      </c>
      <c r="Y115" s="47" t="str">
        <f t="shared" ca="1" si="34"/>
        <v/>
      </c>
      <c r="Z115" s="47" t="str">
        <f t="shared" ca="1" si="34"/>
        <v/>
      </c>
      <c r="AA115" s="47" t="str">
        <f t="shared" ca="1" si="34"/>
        <v/>
      </c>
      <c r="AB115" s="47" t="str">
        <f t="shared" ca="1" si="34"/>
        <v/>
      </c>
      <c r="AC115" s="47" t="str">
        <f t="shared" ca="1" si="34"/>
        <v/>
      </c>
    </row>
    <row r="116" spans="1:29" x14ac:dyDescent="0.3">
      <c r="A116" s="5">
        <f t="shared" si="22"/>
        <v>106</v>
      </c>
      <c r="B116" s="45" t="str">
        <f t="shared" ca="1" si="32"/>
        <v/>
      </c>
      <c r="C116" s="46" t="str">
        <f t="shared" ca="1" si="32"/>
        <v/>
      </c>
      <c r="D116" s="46" t="str">
        <f t="shared" ca="1" si="32"/>
        <v/>
      </c>
      <c r="E116" s="45" t="str">
        <f t="shared" ca="1" si="32"/>
        <v/>
      </c>
      <c r="F116" s="46" t="str">
        <f t="shared" ca="1" si="32"/>
        <v/>
      </c>
      <c r="G116" s="46" t="str">
        <f t="shared" ca="1" si="32"/>
        <v/>
      </c>
      <c r="H116" s="46" t="str">
        <f t="shared" ca="1" si="32"/>
        <v/>
      </c>
      <c r="I116" s="46" t="str">
        <f t="shared" ca="1" si="32"/>
        <v/>
      </c>
      <c r="J116" s="47" t="str">
        <f t="shared" ca="1" si="32"/>
        <v/>
      </c>
      <c r="K116" s="47" t="str">
        <f t="shared" ca="1" si="32"/>
        <v/>
      </c>
      <c r="L116" s="47" t="str">
        <f t="shared" ca="1" si="33"/>
        <v/>
      </c>
      <c r="M116" s="47" t="str">
        <f t="shared" ca="1" si="33"/>
        <v/>
      </c>
      <c r="N116" s="47" t="str">
        <f t="shared" ca="1" si="33"/>
        <v/>
      </c>
      <c r="O116" s="47" t="str">
        <f t="shared" ca="1" si="33"/>
        <v/>
      </c>
      <c r="P116" s="47" t="str">
        <f t="shared" ca="1" si="33"/>
        <v/>
      </c>
      <c r="Q116" s="47" t="str">
        <f t="shared" ca="1" si="33"/>
        <v/>
      </c>
      <c r="R116" s="47" t="str">
        <f t="shared" ca="1" si="33"/>
        <v/>
      </c>
      <c r="S116" s="47" t="str">
        <f t="shared" ca="1" si="33"/>
        <v/>
      </c>
      <c r="T116" s="47" t="str">
        <f t="shared" ca="1" si="33"/>
        <v/>
      </c>
      <c r="U116" s="47" t="str">
        <f t="shared" ca="1" si="33"/>
        <v/>
      </c>
      <c r="V116" s="47" t="str">
        <f t="shared" ca="1" si="34"/>
        <v/>
      </c>
      <c r="W116" s="47" t="str">
        <f t="shared" ca="1" si="34"/>
        <v/>
      </c>
      <c r="X116" s="47" t="str">
        <f t="shared" ca="1" si="34"/>
        <v/>
      </c>
      <c r="Y116" s="47" t="str">
        <f t="shared" ca="1" si="34"/>
        <v/>
      </c>
      <c r="Z116" s="47" t="str">
        <f t="shared" ca="1" si="34"/>
        <v/>
      </c>
      <c r="AA116" s="47" t="str">
        <f t="shared" ca="1" si="34"/>
        <v/>
      </c>
      <c r="AB116" s="47" t="str">
        <f t="shared" ca="1" si="34"/>
        <v/>
      </c>
      <c r="AC116" s="47" t="str">
        <f t="shared" ca="1" si="34"/>
        <v/>
      </c>
    </row>
    <row r="117" spans="1:29" x14ac:dyDescent="0.3">
      <c r="A117" s="5">
        <f t="shared" si="22"/>
        <v>107</v>
      </c>
      <c r="B117" s="45" t="str">
        <f t="shared" ca="1" si="32"/>
        <v/>
      </c>
      <c r="C117" s="46" t="str">
        <f t="shared" ca="1" si="32"/>
        <v/>
      </c>
      <c r="D117" s="46" t="str">
        <f t="shared" ca="1" si="32"/>
        <v/>
      </c>
      <c r="E117" s="45" t="str">
        <f t="shared" ca="1" si="32"/>
        <v/>
      </c>
      <c r="F117" s="46" t="str">
        <f t="shared" ca="1" si="32"/>
        <v/>
      </c>
      <c r="G117" s="46" t="str">
        <f t="shared" ca="1" si="32"/>
        <v/>
      </c>
      <c r="H117" s="46" t="str">
        <f t="shared" ca="1" si="32"/>
        <v/>
      </c>
      <c r="I117" s="46" t="str">
        <f t="shared" ca="1" si="32"/>
        <v/>
      </c>
      <c r="J117" s="47" t="str">
        <f t="shared" ca="1" si="32"/>
        <v/>
      </c>
      <c r="K117" s="47" t="str">
        <f t="shared" ca="1" si="32"/>
        <v/>
      </c>
      <c r="L117" s="47" t="str">
        <f t="shared" ca="1" si="33"/>
        <v/>
      </c>
      <c r="M117" s="47" t="str">
        <f t="shared" ca="1" si="33"/>
        <v/>
      </c>
      <c r="N117" s="47" t="str">
        <f t="shared" ca="1" si="33"/>
        <v/>
      </c>
      <c r="O117" s="47" t="str">
        <f t="shared" ca="1" si="33"/>
        <v/>
      </c>
      <c r="P117" s="47" t="str">
        <f t="shared" ca="1" si="33"/>
        <v/>
      </c>
      <c r="Q117" s="47" t="str">
        <f t="shared" ca="1" si="33"/>
        <v/>
      </c>
      <c r="R117" s="47" t="str">
        <f t="shared" ca="1" si="33"/>
        <v/>
      </c>
      <c r="S117" s="47" t="str">
        <f t="shared" ca="1" si="33"/>
        <v/>
      </c>
      <c r="T117" s="47" t="str">
        <f t="shared" ca="1" si="33"/>
        <v/>
      </c>
      <c r="U117" s="47" t="str">
        <f t="shared" ca="1" si="33"/>
        <v/>
      </c>
      <c r="V117" s="47" t="str">
        <f t="shared" ca="1" si="34"/>
        <v/>
      </c>
      <c r="W117" s="47" t="str">
        <f t="shared" ca="1" si="34"/>
        <v/>
      </c>
      <c r="X117" s="47" t="str">
        <f t="shared" ca="1" si="34"/>
        <v/>
      </c>
      <c r="Y117" s="47" t="str">
        <f t="shared" ca="1" si="34"/>
        <v/>
      </c>
      <c r="Z117" s="47" t="str">
        <f t="shared" ca="1" si="34"/>
        <v/>
      </c>
      <c r="AA117" s="47" t="str">
        <f t="shared" ca="1" si="34"/>
        <v/>
      </c>
      <c r="AB117" s="47" t="str">
        <f t="shared" ca="1" si="34"/>
        <v/>
      </c>
      <c r="AC117" s="47" t="str">
        <f t="shared" ca="1" si="34"/>
        <v/>
      </c>
    </row>
    <row r="118" spans="1:29" x14ac:dyDescent="0.3">
      <c r="A118" s="5">
        <f t="shared" si="22"/>
        <v>108</v>
      </c>
      <c r="B118" s="45" t="str">
        <f t="shared" ca="1" si="32"/>
        <v/>
      </c>
      <c r="C118" s="46" t="str">
        <f t="shared" ca="1" si="32"/>
        <v/>
      </c>
      <c r="D118" s="46" t="str">
        <f t="shared" ca="1" si="32"/>
        <v/>
      </c>
      <c r="E118" s="45" t="str">
        <f t="shared" ca="1" si="32"/>
        <v/>
      </c>
      <c r="F118" s="46" t="str">
        <f t="shared" ca="1" si="32"/>
        <v/>
      </c>
      <c r="G118" s="46" t="str">
        <f t="shared" ca="1" si="32"/>
        <v/>
      </c>
      <c r="H118" s="46" t="str">
        <f t="shared" ca="1" si="32"/>
        <v/>
      </c>
      <c r="I118" s="46" t="str">
        <f t="shared" ca="1" si="32"/>
        <v/>
      </c>
      <c r="J118" s="47" t="str">
        <f t="shared" ca="1" si="32"/>
        <v/>
      </c>
      <c r="K118" s="47" t="str">
        <f t="shared" ca="1" si="32"/>
        <v/>
      </c>
      <c r="L118" s="47" t="str">
        <f t="shared" ca="1" si="33"/>
        <v/>
      </c>
      <c r="M118" s="47" t="str">
        <f t="shared" ca="1" si="33"/>
        <v/>
      </c>
      <c r="N118" s="47" t="str">
        <f t="shared" ca="1" si="33"/>
        <v/>
      </c>
      <c r="O118" s="47" t="str">
        <f t="shared" ca="1" si="33"/>
        <v/>
      </c>
      <c r="P118" s="47" t="str">
        <f t="shared" ca="1" si="33"/>
        <v/>
      </c>
      <c r="Q118" s="47" t="str">
        <f t="shared" ca="1" si="33"/>
        <v/>
      </c>
      <c r="R118" s="47" t="str">
        <f t="shared" ca="1" si="33"/>
        <v/>
      </c>
      <c r="S118" s="47" t="str">
        <f t="shared" ca="1" si="33"/>
        <v/>
      </c>
      <c r="T118" s="47" t="str">
        <f t="shared" ca="1" si="33"/>
        <v/>
      </c>
      <c r="U118" s="47" t="str">
        <f t="shared" ca="1" si="33"/>
        <v/>
      </c>
      <c r="V118" s="47" t="str">
        <f t="shared" ca="1" si="34"/>
        <v/>
      </c>
      <c r="W118" s="47" t="str">
        <f t="shared" ca="1" si="34"/>
        <v/>
      </c>
      <c r="X118" s="47" t="str">
        <f t="shared" ca="1" si="34"/>
        <v/>
      </c>
      <c r="Y118" s="47" t="str">
        <f t="shared" ca="1" si="34"/>
        <v/>
      </c>
      <c r="Z118" s="47" t="str">
        <f t="shared" ca="1" si="34"/>
        <v/>
      </c>
      <c r="AA118" s="47" t="str">
        <f t="shared" ca="1" si="34"/>
        <v/>
      </c>
      <c r="AB118" s="47" t="str">
        <f t="shared" ca="1" si="34"/>
        <v/>
      </c>
      <c r="AC118" s="47" t="str">
        <f t="shared" ca="1" si="34"/>
        <v/>
      </c>
    </row>
    <row r="119" spans="1:29" x14ac:dyDescent="0.3">
      <c r="A119" s="5">
        <f t="shared" si="22"/>
        <v>109</v>
      </c>
      <c r="B119" s="45" t="str">
        <f t="shared" ca="1" si="32"/>
        <v/>
      </c>
      <c r="C119" s="46" t="str">
        <f t="shared" ca="1" si="32"/>
        <v/>
      </c>
      <c r="D119" s="46" t="str">
        <f t="shared" ca="1" si="32"/>
        <v/>
      </c>
      <c r="E119" s="45" t="str">
        <f t="shared" ca="1" si="32"/>
        <v/>
      </c>
      <c r="F119" s="46" t="str">
        <f t="shared" ca="1" si="32"/>
        <v/>
      </c>
      <c r="G119" s="46" t="str">
        <f t="shared" ca="1" si="32"/>
        <v/>
      </c>
      <c r="H119" s="46" t="str">
        <f t="shared" ca="1" si="32"/>
        <v/>
      </c>
      <c r="I119" s="46" t="str">
        <f t="shared" ca="1" si="32"/>
        <v/>
      </c>
      <c r="J119" s="47" t="str">
        <f t="shared" ca="1" si="32"/>
        <v/>
      </c>
      <c r="K119" s="47" t="str">
        <f t="shared" ca="1" si="32"/>
        <v/>
      </c>
      <c r="L119" s="47" t="str">
        <f t="shared" ca="1" si="33"/>
        <v/>
      </c>
      <c r="M119" s="47" t="str">
        <f t="shared" ca="1" si="33"/>
        <v/>
      </c>
      <c r="N119" s="47" t="str">
        <f t="shared" ca="1" si="33"/>
        <v/>
      </c>
      <c r="O119" s="47" t="str">
        <f t="shared" ca="1" si="33"/>
        <v/>
      </c>
      <c r="P119" s="47" t="str">
        <f t="shared" ca="1" si="33"/>
        <v/>
      </c>
      <c r="Q119" s="47" t="str">
        <f t="shared" ca="1" si="33"/>
        <v/>
      </c>
      <c r="R119" s="47" t="str">
        <f t="shared" ca="1" si="33"/>
        <v/>
      </c>
      <c r="S119" s="47" t="str">
        <f t="shared" ca="1" si="33"/>
        <v/>
      </c>
      <c r="T119" s="47" t="str">
        <f t="shared" ca="1" si="33"/>
        <v/>
      </c>
      <c r="U119" s="47" t="str">
        <f t="shared" ca="1" si="33"/>
        <v/>
      </c>
      <c r="V119" s="47" t="str">
        <f t="shared" ca="1" si="34"/>
        <v/>
      </c>
      <c r="W119" s="47" t="str">
        <f t="shared" ca="1" si="34"/>
        <v/>
      </c>
      <c r="X119" s="47" t="str">
        <f t="shared" ca="1" si="34"/>
        <v/>
      </c>
      <c r="Y119" s="47" t="str">
        <f t="shared" ca="1" si="34"/>
        <v/>
      </c>
      <c r="Z119" s="47" t="str">
        <f t="shared" ca="1" si="34"/>
        <v/>
      </c>
      <c r="AA119" s="47" t="str">
        <f t="shared" ca="1" si="34"/>
        <v/>
      </c>
      <c r="AB119" s="47" t="str">
        <f t="shared" ca="1" si="34"/>
        <v/>
      </c>
      <c r="AC119" s="47" t="str">
        <f t="shared" ca="1" si="34"/>
        <v/>
      </c>
    </row>
    <row r="120" spans="1:29" x14ac:dyDescent="0.3">
      <c r="A120" s="5">
        <f t="shared" si="22"/>
        <v>110</v>
      </c>
      <c r="B120" s="45" t="str">
        <f t="shared" ca="1" si="32"/>
        <v/>
      </c>
      <c r="C120" s="46" t="str">
        <f t="shared" ca="1" si="32"/>
        <v/>
      </c>
      <c r="D120" s="46" t="str">
        <f t="shared" ca="1" si="32"/>
        <v/>
      </c>
      <c r="E120" s="45" t="str">
        <f t="shared" ca="1" si="32"/>
        <v/>
      </c>
      <c r="F120" s="46" t="str">
        <f t="shared" ca="1" si="32"/>
        <v/>
      </c>
      <c r="G120" s="46" t="str">
        <f t="shared" ca="1" si="32"/>
        <v/>
      </c>
      <c r="H120" s="46" t="str">
        <f t="shared" ca="1" si="32"/>
        <v/>
      </c>
      <c r="I120" s="46" t="str">
        <f t="shared" ca="1" si="32"/>
        <v/>
      </c>
      <c r="J120" s="47" t="str">
        <f t="shared" ca="1" si="32"/>
        <v/>
      </c>
      <c r="K120" s="47" t="str">
        <f t="shared" ca="1" si="32"/>
        <v/>
      </c>
      <c r="L120" s="47" t="str">
        <f t="shared" ca="1" si="33"/>
        <v/>
      </c>
      <c r="M120" s="47" t="str">
        <f t="shared" ca="1" si="33"/>
        <v/>
      </c>
      <c r="N120" s="47" t="str">
        <f t="shared" ca="1" si="33"/>
        <v/>
      </c>
      <c r="O120" s="47" t="str">
        <f t="shared" ca="1" si="33"/>
        <v/>
      </c>
      <c r="P120" s="47" t="str">
        <f t="shared" ca="1" si="33"/>
        <v/>
      </c>
      <c r="Q120" s="47" t="str">
        <f t="shared" ca="1" si="33"/>
        <v/>
      </c>
      <c r="R120" s="47" t="str">
        <f t="shared" ca="1" si="33"/>
        <v/>
      </c>
      <c r="S120" s="47" t="str">
        <f t="shared" ca="1" si="33"/>
        <v/>
      </c>
      <c r="T120" s="47" t="str">
        <f t="shared" ca="1" si="33"/>
        <v/>
      </c>
      <c r="U120" s="47" t="str">
        <f t="shared" ca="1" si="33"/>
        <v/>
      </c>
      <c r="V120" s="47" t="str">
        <f t="shared" ca="1" si="34"/>
        <v/>
      </c>
      <c r="W120" s="47" t="str">
        <f t="shared" ca="1" si="34"/>
        <v/>
      </c>
      <c r="X120" s="47" t="str">
        <f t="shared" ca="1" si="34"/>
        <v/>
      </c>
      <c r="Y120" s="47" t="str">
        <f t="shared" ca="1" si="34"/>
        <v/>
      </c>
      <c r="Z120" s="47" t="str">
        <f t="shared" ca="1" si="34"/>
        <v/>
      </c>
      <c r="AA120" s="47" t="str">
        <f t="shared" ca="1" si="34"/>
        <v/>
      </c>
      <c r="AB120" s="47" t="str">
        <f t="shared" ca="1" si="34"/>
        <v/>
      </c>
      <c r="AC120" s="47" t="str">
        <f t="shared" ca="1" si="34"/>
        <v/>
      </c>
    </row>
    <row r="121" spans="1:29" x14ac:dyDescent="0.3">
      <c r="A121" s="5">
        <f t="shared" si="22"/>
        <v>111</v>
      </c>
      <c r="B121" s="45" t="str">
        <f t="shared" ca="1" si="32"/>
        <v/>
      </c>
      <c r="C121" s="46" t="str">
        <f t="shared" ca="1" si="32"/>
        <v/>
      </c>
      <c r="D121" s="46" t="str">
        <f t="shared" ca="1" si="32"/>
        <v/>
      </c>
      <c r="E121" s="45" t="str">
        <f t="shared" ca="1" si="32"/>
        <v/>
      </c>
      <c r="F121" s="46" t="str">
        <f t="shared" ca="1" si="32"/>
        <v/>
      </c>
      <c r="G121" s="46" t="str">
        <f t="shared" ca="1" si="32"/>
        <v/>
      </c>
      <c r="H121" s="46" t="str">
        <f t="shared" ca="1" si="32"/>
        <v/>
      </c>
      <c r="I121" s="46" t="str">
        <f t="shared" ca="1" si="32"/>
        <v/>
      </c>
      <c r="J121" s="47" t="str">
        <f t="shared" ca="1" si="32"/>
        <v/>
      </c>
      <c r="K121" s="47" t="str">
        <f t="shared" ca="1" si="32"/>
        <v/>
      </c>
      <c r="L121" s="47" t="str">
        <f t="shared" ca="1" si="33"/>
        <v/>
      </c>
      <c r="M121" s="47" t="str">
        <f t="shared" ca="1" si="33"/>
        <v/>
      </c>
      <c r="N121" s="47" t="str">
        <f t="shared" ca="1" si="33"/>
        <v/>
      </c>
      <c r="O121" s="47" t="str">
        <f t="shared" ca="1" si="33"/>
        <v/>
      </c>
      <c r="P121" s="47" t="str">
        <f t="shared" ca="1" si="33"/>
        <v/>
      </c>
      <c r="Q121" s="47" t="str">
        <f t="shared" ca="1" si="33"/>
        <v/>
      </c>
      <c r="R121" s="47" t="str">
        <f t="shared" ca="1" si="33"/>
        <v/>
      </c>
      <c r="S121" s="47" t="str">
        <f t="shared" ca="1" si="33"/>
        <v/>
      </c>
      <c r="T121" s="47" t="str">
        <f t="shared" ca="1" si="33"/>
        <v/>
      </c>
      <c r="U121" s="47" t="str">
        <f t="shared" ca="1" si="33"/>
        <v/>
      </c>
      <c r="V121" s="47" t="str">
        <f t="shared" ca="1" si="34"/>
        <v/>
      </c>
      <c r="W121" s="47" t="str">
        <f t="shared" ca="1" si="34"/>
        <v/>
      </c>
      <c r="X121" s="47" t="str">
        <f t="shared" ca="1" si="34"/>
        <v/>
      </c>
      <c r="Y121" s="47" t="str">
        <f t="shared" ca="1" si="34"/>
        <v/>
      </c>
      <c r="Z121" s="47" t="str">
        <f t="shared" ca="1" si="34"/>
        <v/>
      </c>
      <c r="AA121" s="47" t="str">
        <f t="shared" ca="1" si="34"/>
        <v/>
      </c>
      <c r="AB121" s="47" t="str">
        <f t="shared" ca="1" si="34"/>
        <v/>
      </c>
      <c r="AC121" s="47" t="str">
        <f t="shared" ca="1" si="34"/>
        <v/>
      </c>
    </row>
    <row r="122" spans="1:29" x14ac:dyDescent="0.3">
      <c r="A122" s="5">
        <f t="shared" si="22"/>
        <v>112</v>
      </c>
      <c r="B122" s="45" t="str">
        <f t="shared" ref="B122:K131" ca="1" si="35">IFERROR(IF(INDIRECT("raw!R"&amp;$A122&amp;"C"&amp;B$10,FALSE)&lt;&gt;"",INDIRECT("raw!R"&amp;$A122&amp;"C"&amp;B$10,FALSE),""),"")</f>
        <v/>
      </c>
      <c r="C122" s="46" t="str">
        <f t="shared" ca="1" si="35"/>
        <v/>
      </c>
      <c r="D122" s="46" t="str">
        <f t="shared" ca="1" si="35"/>
        <v/>
      </c>
      <c r="E122" s="45" t="str">
        <f t="shared" ca="1" si="35"/>
        <v/>
      </c>
      <c r="F122" s="46" t="str">
        <f t="shared" ca="1" si="35"/>
        <v/>
      </c>
      <c r="G122" s="46" t="str">
        <f t="shared" ca="1" si="35"/>
        <v/>
      </c>
      <c r="H122" s="46" t="str">
        <f t="shared" ca="1" si="35"/>
        <v/>
      </c>
      <c r="I122" s="46" t="str">
        <f t="shared" ca="1" si="35"/>
        <v/>
      </c>
      <c r="J122" s="47" t="str">
        <f t="shared" ca="1" si="35"/>
        <v/>
      </c>
      <c r="K122" s="47" t="str">
        <f t="shared" ca="1" si="35"/>
        <v/>
      </c>
      <c r="L122" s="47" t="str">
        <f t="shared" ref="L122:U131" ca="1" si="36">IFERROR(IF(INDIRECT("raw!R"&amp;$A122&amp;"C"&amp;L$10,FALSE)&lt;&gt;"",INDIRECT("raw!R"&amp;$A122&amp;"C"&amp;L$10,FALSE),""),"")</f>
        <v/>
      </c>
      <c r="M122" s="47" t="str">
        <f t="shared" ca="1" si="36"/>
        <v/>
      </c>
      <c r="N122" s="47" t="str">
        <f t="shared" ca="1" si="36"/>
        <v/>
      </c>
      <c r="O122" s="47" t="str">
        <f t="shared" ca="1" si="36"/>
        <v/>
      </c>
      <c r="P122" s="47" t="str">
        <f t="shared" ca="1" si="36"/>
        <v/>
      </c>
      <c r="Q122" s="47" t="str">
        <f t="shared" ca="1" si="36"/>
        <v/>
      </c>
      <c r="R122" s="47" t="str">
        <f t="shared" ca="1" si="36"/>
        <v/>
      </c>
      <c r="S122" s="47" t="str">
        <f t="shared" ca="1" si="36"/>
        <v/>
      </c>
      <c r="T122" s="47" t="str">
        <f t="shared" ca="1" si="36"/>
        <v/>
      </c>
      <c r="U122" s="47" t="str">
        <f t="shared" ca="1" si="36"/>
        <v/>
      </c>
      <c r="V122" s="47" t="str">
        <f t="shared" ref="V122:AC131" ca="1" si="37">IFERROR(IF(INDIRECT("raw!R"&amp;$A122&amp;"C"&amp;V$10,FALSE)&lt;&gt;"",INDIRECT("raw!R"&amp;$A122&amp;"C"&amp;V$10,FALSE),""),"")</f>
        <v/>
      </c>
      <c r="W122" s="47" t="str">
        <f t="shared" ca="1" si="37"/>
        <v/>
      </c>
      <c r="X122" s="47" t="str">
        <f t="shared" ca="1" si="37"/>
        <v/>
      </c>
      <c r="Y122" s="47" t="str">
        <f t="shared" ca="1" si="37"/>
        <v/>
      </c>
      <c r="Z122" s="47" t="str">
        <f t="shared" ca="1" si="37"/>
        <v/>
      </c>
      <c r="AA122" s="47" t="str">
        <f t="shared" ca="1" si="37"/>
        <v/>
      </c>
      <c r="AB122" s="47" t="str">
        <f t="shared" ca="1" si="37"/>
        <v/>
      </c>
      <c r="AC122" s="47" t="str">
        <f t="shared" ca="1" si="37"/>
        <v/>
      </c>
    </row>
    <row r="123" spans="1:29" x14ac:dyDescent="0.3">
      <c r="A123" s="5">
        <f t="shared" si="22"/>
        <v>113</v>
      </c>
      <c r="B123" s="45" t="str">
        <f t="shared" ca="1" si="35"/>
        <v/>
      </c>
      <c r="C123" s="46" t="str">
        <f t="shared" ca="1" si="35"/>
        <v/>
      </c>
      <c r="D123" s="46" t="str">
        <f t="shared" ca="1" si="35"/>
        <v/>
      </c>
      <c r="E123" s="45" t="str">
        <f t="shared" ca="1" si="35"/>
        <v/>
      </c>
      <c r="F123" s="46" t="str">
        <f t="shared" ca="1" si="35"/>
        <v/>
      </c>
      <c r="G123" s="46" t="str">
        <f t="shared" ca="1" si="35"/>
        <v/>
      </c>
      <c r="H123" s="46" t="str">
        <f t="shared" ca="1" si="35"/>
        <v/>
      </c>
      <c r="I123" s="46" t="str">
        <f t="shared" ca="1" si="35"/>
        <v/>
      </c>
      <c r="J123" s="47" t="str">
        <f t="shared" ca="1" si="35"/>
        <v/>
      </c>
      <c r="K123" s="47" t="str">
        <f t="shared" ca="1" si="35"/>
        <v/>
      </c>
      <c r="L123" s="47" t="str">
        <f t="shared" ca="1" si="36"/>
        <v/>
      </c>
      <c r="M123" s="47" t="str">
        <f t="shared" ca="1" si="36"/>
        <v/>
      </c>
      <c r="N123" s="47" t="str">
        <f t="shared" ca="1" si="36"/>
        <v/>
      </c>
      <c r="O123" s="47" t="str">
        <f t="shared" ca="1" si="36"/>
        <v/>
      </c>
      <c r="P123" s="47" t="str">
        <f t="shared" ca="1" si="36"/>
        <v/>
      </c>
      <c r="Q123" s="47" t="str">
        <f t="shared" ca="1" si="36"/>
        <v/>
      </c>
      <c r="R123" s="47" t="str">
        <f t="shared" ca="1" si="36"/>
        <v/>
      </c>
      <c r="S123" s="47" t="str">
        <f t="shared" ca="1" si="36"/>
        <v/>
      </c>
      <c r="T123" s="47" t="str">
        <f t="shared" ca="1" si="36"/>
        <v/>
      </c>
      <c r="U123" s="47" t="str">
        <f t="shared" ca="1" si="36"/>
        <v/>
      </c>
      <c r="V123" s="47" t="str">
        <f t="shared" ca="1" si="37"/>
        <v/>
      </c>
      <c r="W123" s="47" t="str">
        <f t="shared" ca="1" si="37"/>
        <v/>
      </c>
      <c r="X123" s="47" t="str">
        <f t="shared" ca="1" si="37"/>
        <v/>
      </c>
      <c r="Y123" s="47" t="str">
        <f t="shared" ca="1" si="37"/>
        <v/>
      </c>
      <c r="Z123" s="47" t="str">
        <f t="shared" ca="1" si="37"/>
        <v/>
      </c>
      <c r="AA123" s="47" t="str">
        <f t="shared" ca="1" si="37"/>
        <v/>
      </c>
      <c r="AB123" s="47" t="str">
        <f t="shared" ca="1" si="37"/>
        <v/>
      </c>
      <c r="AC123" s="47" t="str">
        <f t="shared" ca="1" si="37"/>
        <v/>
      </c>
    </row>
    <row r="124" spans="1:29" x14ac:dyDescent="0.3">
      <c r="A124" s="5">
        <f t="shared" si="22"/>
        <v>114</v>
      </c>
      <c r="B124" s="45" t="str">
        <f t="shared" ca="1" si="35"/>
        <v/>
      </c>
      <c r="C124" s="46" t="str">
        <f t="shared" ca="1" si="35"/>
        <v/>
      </c>
      <c r="D124" s="46" t="str">
        <f t="shared" ca="1" si="35"/>
        <v/>
      </c>
      <c r="E124" s="45" t="str">
        <f t="shared" ca="1" si="35"/>
        <v/>
      </c>
      <c r="F124" s="46" t="str">
        <f t="shared" ca="1" si="35"/>
        <v/>
      </c>
      <c r="G124" s="46" t="str">
        <f t="shared" ca="1" si="35"/>
        <v/>
      </c>
      <c r="H124" s="46" t="str">
        <f t="shared" ca="1" si="35"/>
        <v/>
      </c>
      <c r="I124" s="46" t="str">
        <f t="shared" ca="1" si="35"/>
        <v/>
      </c>
      <c r="J124" s="47" t="str">
        <f t="shared" ca="1" si="35"/>
        <v/>
      </c>
      <c r="K124" s="47" t="str">
        <f t="shared" ca="1" si="35"/>
        <v/>
      </c>
      <c r="L124" s="47" t="str">
        <f t="shared" ca="1" si="36"/>
        <v/>
      </c>
      <c r="M124" s="47" t="str">
        <f t="shared" ca="1" si="36"/>
        <v/>
      </c>
      <c r="N124" s="47" t="str">
        <f t="shared" ca="1" si="36"/>
        <v/>
      </c>
      <c r="O124" s="47" t="str">
        <f t="shared" ca="1" si="36"/>
        <v/>
      </c>
      <c r="P124" s="47" t="str">
        <f t="shared" ca="1" si="36"/>
        <v/>
      </c>
      <c r="Q124" s="47" t="str">
        <f t="shared" ca="1" si="36"/>
        <v/>
      </c>
      <c r="R124" s="47" t="str">
        <f t="shared" ca="1" si="36"/>
        <v/>
      </c>
      <c r="S124" s="47" t="str">
        <f t="shared" ca="1" si="36"/>
        <v/>
      </c>
      <c r="T124" s="47" t="str">
        <f t="shared" ca="1" si="36"/>
        <v/>
      </c>
      <c r="U124" s="47" t="str">
        <f t="shared" ca="1" si="36"/>
        <v/>
      </c>
      <c r="V124" s="47" t="str">
        <f t="shared" ca="1" si="37"/>
        <v/>
      </c>
      <c r="W124" s="47" t="str">
        <f t="shared" ca="1" si="37"/>
        <v/>
      </c>
      <c r="X124" s="47" t="str">
        <f t="shared" ca="1" si="37"/>
        <v/>
      </c>
      <c r="Y124" s="47" t="str">
        <f t="shared" ca="1" si="37"/>
        <v/>
      </c>
      <c r="Z124" s="47" t="str">
        <f t="shared" ca="1" si="37"/>
        <v/>
      </c>
      <c r="AA124" s="47" t="str">
        <f t="shared" ca="1" si="37"/>
        <v/>
      </c>
      <c r="AB124" s="47" t="str">
        <f t="shared" ca="1" si="37"/>
        <v/>
      </c>
      <c r="AC124" s="47" t="str">
        <f t="shared" ca="1" si="37"/>
        <v/>
      </c>
    </row>
    <row r="125" spans="1:29" x14ac:dyDescent="0.3">
      <c r="A125" s="5">
        <f t="shared" si="22"/>
        <v>115</v>
      </c>
      <c r="B125" s="45" t="str">
        <f t="shared" ca="1" si="35"/>
        <v/>
      </c>
      <c r="C125" s="46" t="str">
        <f t="shared" ca="1" si="35"/>
        <v/>
      </c>
      <c r="D125" s="46" t="str">
        <f t="shared" ca="1" si="35"/>
        <v/>
      </c>
      <c r="E125" s="45" t="str">
        <f t="shared" ca="1" si="35"/>
        <v/>
      </c>
      <c r="F125" s="46" t="str">
        <f t="shared" ca="1" si="35"/>
        <v/>
      </c>
      <c r="G125" s="46" t="str">
        <f t="shared" ca="1" si="35"/>
        <v/>
      </c>
      <c r="H125" s="46" t="str">
        <f t="shared" ca="1" si="35"/>
        <v/>
      </c>
      <c r="I125" s="46" t="str">
        <f t="shared" ca="1" si="35"/>
        <v/>
      </c>
      <c r="J125" s="47" t="str">
        <f t="shared" ca="1" si="35"/>
        <v/>
      </c>
      <c r="K125" s="47" t="str">
        <f t="shared" ca="1" si="35"/>
        <v/>
      </c>
      <c r="L125" s="47" t="str">
        <f t="shared" ca="1" si="36"/>
        <v/>
      </c>
      <c r="M125" s="47" t="str">
        <f t="shared" ca="1" si="36"/>
        <v/>
      </c>
      <c r="N125" s="47" t="str">
        <f t="shared" ca="1" si="36"/>
        <v/>
      </c>
      <c r="O125" s="47" t="str">
        <f t="shared" ca="1" si="36"/>
        <v/>
      </c>
      <c r="P125" s="47" t="str">
        <f t="shared" ca="1" si="36"/>
        <v/>
      </c>
      <c r="Q125" s="47" t="str">
        <f t="shared" ca="1" si="36"/>
        <v/>
      </c>
      <c r="R125" s="47" t="str">
        <f t="shared" ca="1" si="36"/>
        <v/>
      </c>
      <c r="S125" s="47" t="str">
        <f t="shared" ca="1" si="36"/>
        <v/>
      </c>
      <c r="T125" s="47" t="str">
        <f t="shared" ca="1" si="36"/>
        <v/>
      </c>
      <c r="U125" s="47" t="str">
        <f t="shared" ca="1" si="36"/>
        <v/>
      </c>
      <c r="V125" s="47" t="str">
        <f t="shared" ca="1" si="37"/>
        <v/>
      </c>
      <c r="W125" s="47" t="str">
        <f t="shared" ca="1" si="37"/>
        <v/>
      </c>
      <c r="X125" s="47" t="str">
        <f t="shared" ca="1" si="37"/>
        <v/>
      </c>
      <c r="Y125" s="47" t="str">
        <f t="shared" ca="1" si="37"/>
        <v/>
      </c>
      <c r="Z125" s="47" t="str">
        <f t="shared" ca="1" si="37"/>
        <v/>
      </c>
      <c r="AA125" s="47" t="str">
        <f t="shared" ca="1" si="37"/>
        <v/>
      </c>
      <c r="AB125" s="47" t="str">
        <f t="shared" ca="1" si="37"/>
        <v/>
      </c>
      <c r="AC125" s="47" t="str">
        <f t="shared" ca="1" si="37"/>
        <v/>
      </c>
    </row>
    <row r="126" spans="1:29" x14ac:dyDescent="0.3">
      <c r="A126" s="5">
        <f t="shared" si="22"/>
        <v>116</v>
      </c>
      <c r="B126" s="45" t="str">
        <f t="shared" ca="1" si="35"/>
        <v/>
      </c>
      <c r="C126" s="46" t="str">
        <f t="shared" ca="1" si="35"/>
        <v/>
      </c>
      <c r="D126" s="46" t="str">
        <f t="shared" ca="1" si="35"/>
        <v/>
      </c>
      <c r="E126" s="45" t="str">
        <f t="shared" ca="1" si="35"/>
        <v/>
      </c>
      <c r="F126" s="46" t="str">
        <f t="shared" ca="1" si="35"/>
        <v/>
      </c>
      <c r="G126" s="46" t="str">
        <f t="shared" ca="1" si="35"/>
        <v/>
      </c>
      <c r="H126" s="46" t="str">
        <f t="shared" ca="1" si="35"/>
        <v/>
      </c>
      <c r="I126" s="46" t="str">
        <f t="shared" ca="1" si="35"/>
        <v/>
      </c>
      <c r="J126" s="47" t="str">
        <f t="shared" ca="1" si="35"/>
        <v/>
      </c>
      <c r="K126" s="47" t="str">
        <f t="shared" ca="1" si="35"/>
        <v/>
      </c>
      <c r="L126" s="47" t="str">
        <f t="shared" ca="1" si="36"/>
        <v/>
      </c>
      <c r="M126" s="47" t="str">
        <f t="shared" ca="1" si="36"/>
        <v/>
      </c>
      <c r="N126" s="47" t="str">
        <f t="shared" ca="1" si="36"/>
        <v/>
      </c>
      <c r="O126" s="47" t="str">
        <f t="shared" ca="1" si="36"/>
        <v/>
      </c>
      <c r="P126" s="47" t="str">
        <f t="shared" ca="1" si="36"/>
        <v/>
      </c>
      <c r="Q126" s="47" t="str">
        <f t="shared" ca="1" si="36"/>
        <v/>
      </c>
      <c r="R126" s="47" t="str">
        <f t="shared" ca="1" si="36"/>
        <v/>
      </c>
      <c r="S126" s="47" t="str">
        <f t="shared" ca="1" si="36"/>
        <v/>
      </c>
      <c r="T126" s="47" t="str">
        <f t="shared" ca="1" si="36"/>
        <v/>
      </c>
      <c r="U126" s="47" t="str">
        <f t="shared" ca="1" si="36"/>
        <v/>
      </c>
      <c r="V126" s="47" t="str">
        <f t="shared" ca="1" si="37"/>
        <v/>
      </c>
      <c r="W126" s="47" t="str">
        <f t="shared" ca="1" si="37"/>
        <v/>
      </c>
      <c r="X126" s="47" t="str">
        <f t="shared" ca="1" si="37"/>
        <v/>
      </c>
      <c r="Y126" s="47" t="str">
        <f t="shared" ca="1" si="37"/>
        <v/>
      </c>
      <c r="Z126" s="47" t="str">
        <f t="shared" ca="1" si="37"/>
        <v/>
      </c>
      <c r="AA126" s="47" t="str">
        <f t="shared" ca="1" si="37"/>
        <v/>
      </c>
      <c r="AB126" s="47" t="str">
        <f t="shared" ca="1" si="37"/>
        <v/>
      </c>
      <c r="AC126" s="47" t="str">
        <f t="shared" ca="1" si="37"/>
        <v/>
      </c>
    </row>
    <row r="127" spans="1:29" x14ac:dyDescent="0.3">
      <c r="A127" s="5">
        <f t="shared" si="22"/>
        <v>117</v>
      </c>
      <c r="B127" s="45" t="str">
        <f t="shared" ca="1" si="35"/>
        <v/>
      </c>
      <c r="C127" s="46" t="str">
        <f t="shared" ca="1" si="35"/>
        <v/>
      </c>
      <c r="D127" s="46" t="str">
        <f t="shared" ca="1" si="35"/>
        <v/>
      </c>
      <c r="E127" s="45" t="str">
        <f t="shared" ca="1" si="35"/>
        <v/>
      </c>
      <c r="F127" s="46" t="str">
        <f t="shared" ca="1" si="35"/>
        <v/>
      </c>
      <c r="G127" s="46" t="str">
        <f t="shared" ca="1" si="35"/>
        <v/>
      </c>
      <c r="H127" s="46" t="str">
        <f t="shared" ca="1" si="35"/>
        <v/>
      </c>
      <c r="I127" s="46" t="str">
        <f t="shared" ca="1" si="35"/>
        <v/>
      </c>
      <c r="J127" s="47" t="str">
        <f t="shared" ca="1" si="35"/>
        <v/>
      </c>
      <c r="K127" s="47" t="str">
        <f t="shared" ca="1" si="35"/>
        <v/>
      </c>
      <c r="L127" s="47" t="str">
        <f t="shared" ca="1" si="36"/>
        <v/>
      </c>
      <c r="M127" s="47" t="str">
        <f t="shared" ca="1" si="36"/>
        <v/>
      </c>
      <c r="N127" s="47" t="str">
        <f t="shared" ca="1" si="36"/>
        <v/>
      </c>
      <c r="O127" s="47" t="str">
        <f t="shared" ca="1" si="36"/>
        <v/>
      </c>
      <c r="P127" s="47" t="str">
        <f t="shared" ca="1" si="36"/>
        <v/>
      </c>
      <c r="Q127" s="47" t="str">
        <f t="shared" ca="1" si="36"/>
        <v/>
      </c>
      <c r="R127" s="47" t="str">
        <f t="shared" ca="1" si="36"/>
        <v/>
      </c>
      <c r="S127" s="47" t="str">
        <f t="shared" ca="1" si="36"/>
        <v/>
      </c>
      <c r="T127" s="47" t="str">
        <f t="shared" ca="1" si="36"/>
        <v/>
      </c>
      <c r="U127" s="47" t="str">
        <f t="shared" ca="1" si="36"/>
        <v/>
      </c>
      <c r="V127" s="47" t="str">
        <f t="shared" ca="1" si="37"/>
        <v/>
      </c>
      <c r="W127" s="47" t="str">
        <f t="shared" ca="1" si="37"/>
        <v/>
      </c>
      <c r="X127" s="47" t="str">
        <f t="shared" ca="1" si="37"/>
        <v/>
      </c>
      <c r="Y127" s="47" t="str">
        <f t="shared" ca="1" si="37"/>
        <v/>
      </c>
      <c r="Z127" s="47" t="str">
        <f t="shared" ca="1" si="37"/>
        <v/>
      </c>
      <c r="AA127" s="47" t="str">
        <f t="shared" ca="1" si="37"/>
        <v/>
      </c>
      <c r="AB127" s="47" t="str">
        <f t="shared" ca="1" si="37"/>
        <v/>
      </c>
      <c r="AC127" s="47" t="str">
        <f t="shared" ca="1" si="37"/>
        <v/>
      </c>
    </row>
    <row r="128" spans="1:29" x14ac:dyDescent="0.3">
      <c r="A128" s="5">
        <f t="shared" si="22"/>
        <v>118</v>
      </c>
      <c r="B128" s="45" t="str">
        <f t="shared" ca="1" si="35"/>
        <v/>
      </c>
      <c r="C128" s="46" t="str">
        <f t="shared" ca="1" si="35"/>
        <v/>
      </c>
      <c r="D128" s="46" t="str">
        <f t="shared" ca="1" si="35"/>
        <v/>
      </c>
      <c r="E128" s="45" t="str">
        <f t="shared" ca="1" si="35"/>
        <v/>
      </c>
      <c r="F128" s="46" t="str">
        <f t="shared" ca="1" si="35"/>
        <v/>
      </c>
      <c r="G128" s="46" t="str">
        <f t="shared" ca="1" si="35"/>
        <v/>
      </c>
      <c r="H128" s="46" t="str">
        <f t="shared" ca="1" si="35"/>
        <v/>
      </c>
      <c r="I128" s="46" t="str">
        <f t="shared" ca="1" si="35"/>
        <v/>
      </c>
      <c r="J128" s="47" t="str">
        <f t="shared" ca="1" si="35"/>
        <v/>
      </c>
      <c r="K128" s="47" t="str">
        <f t="shared" ca="1" si="35"/>
        <v/>
      </c>
      <c r="L128" s="47" t="str">
        <f t="shared" ca="1" si="36"/>
        <v/>
      </c>
      <c r="M128" s="47" t="str">
        <f t="shared" ca="1" si="36"/>
        <v/>
      </c>
      <c r="N128" s="47" t="str">
        <f t="shared" ca="1" si="36"/>
        <v/>
      </c>
      <c r="O128" s="47" t="str">
        <f t="shared" ca="1" si="36"/>
        <v/>
      </c>
      <c r="P128" s="47" t="str">
        <f t="shared" ca="1" si="36"/>
        <v/>
      </c>
      <c r="Q128" s="47" t="str">
        <f t="shared" ca="1" si="36"/>
        <v/>
      </c>
      <c r="R128" s="47" t="str">
        <f t="shared" ca="1" si="36"/>
        <v/>
      </c>
      <c r="S128" s="47" t="str">
        <f t="shared" ca="1" si="36"/>
        <v/>
      </c>
      <c r="T128" s="47" t="str">
        <f t="shared" ca="1" si="36"/>
        <v/>
      </c>
      <c r="U128" s="47" t="str">
        <f t="shared" ca="1" si="36"/>
        <v/>
      </c>
      <c r="V128" s="47" t="str">
        <f t="shared" ca="1" si="37"/>
        <v/>
      </c>
      <c r="W128" s="47" t="str">
        <f t="shared" ca="1" si="37"/>
        <v/>
      </c>
      <c r="X128" s="47" t="str">
        <f t="shared" ca="1" si="37"/>
        <v/>
      </c>
      <c r="Y128" s="47" t="str">
        <f t="shared" ca="1" si="37"/>
        <v/>
      </c>
      <c r="Z128" s="47" t="str">
        <f t="shared" ca="1" si="37"/>
        <v/>
      </c>
      <c r="AA128" s="47" t="str">
        <f t="shared" ca="1" si="37"/>
        <v/>
      </c>
      <c r="AB128" s="47" t="str">
        <f t="shared" ca="1" si="37"/>
        <v/>
      </c>
      <c r="AC128" s="47" t="str">
        <f t="shared" ca="1" si="37"/>
        <v/>
      </c>
    </row>
    <row r="129" spans="1:29" x14ac:dyDescent="0.3">
      <c r="A129" s="5">
        <f t="shared" si="22"/>
        <v>119</v>
      </c>
      <c r="B129" s="45" t="str">
        <f t="shared" ca="1" si="35"/>
        <v/>
      </c>
      <c r="C129" s="46" t="str">
        <f t="shared" ca="1" si="35"/>
        <v/>
      </c>
      <c r="D129" s="46" t="str">
        <f t="shared" ca="1" si="35"/>
        <v/>
      </c>
      <c r="E129" s="45" t="str">
        <f t="shared" ca="1" si="35"/>
        <v/>
      </c>
      <c r="F129" s="46" t="str">
        <f t="shared" ca="1" si="35"/>
        <v/>
      </c>
      <c r="G129" s="46" t="str">
        <f t="shared" ca="1" si="35"/>
        <v/>
      </c>
      <c r="H129" s="46" t="str">
        <f t="shared" ca="1" si="35"/>
        <v/>
      </c>
      <c r="I129" s="46" t="str">
        <f t="shared" ca="1" si="35"/>
        <v/>
      </c>
      <c r="J129" s="47" t="str">
        <f t="shared" ca="1" si="35"/>
        <v/>
      </c>
      <c r="K129" s="47" t="str">
        <f t="shared" ca="1" si="35"/>
        <v/>
      </c>
      <c r="L129" s="47" t="str">
        <f t="shared" ca="1" si="36"/>
        <v/>
      </c>
      <c r="M129" s="47" t="str">
        <f t="shared" ca="1" si="36"/>
        <v/>
      </c>
      <c r="N129" s="47" t="str">
        <f t="shared" ca="1" si="36"/>
        <v/>
      </c>
      <c r="O129" s="47" t="str">
        <f t="shared" ca="1" si="36"/>
        <v/>
      </c>
      <c r="P129" s="47" t="str">
        <f t="shared" ca="1" si="36"/>
        <v/>
      </c>
      <c r="Q129" s="47" t="str">
        <f t="shared" ca="1" si="36"/>
        <v/>
      </c>
      <c r="R129" s="47" t="str">
        <f t="shared" ca="1" si="36"/>
        <v/>
      </c>
      <c r="S129" s="47" t="str">
        <f t="shared" ca="1" si="36"/>
        <v/>
      </c>
      <c r="T129" s="47" t="str">
        <f t="shared" ca="1" si="36"/>
        <v/>
      </c>
      <c r="U129" s="47" t="str">
        <f t="shared" ca="1" si="36"/>
        <v/>
      </c>
      <c r="V129" s="47" t="str">
        <f t="shared" ca="1" si="37"/>
        <v/>
      </c>
      <c r="W129" s="47" t="str">
        <f t="shared" ca="1" si="37"/>
        <v/>
      </c>
      <c r="X129" s="47" t="str">
        <f t="shared" ca="1" si="37"/>
        <v/>
      </c>
      <c r="Y129" s="47" t="str">
        <f t="shared" ca="1" si="37"/>
        <v/>
      </c>
      <c r="Z129" s="47" t="str">
        <f t="shared" ca="1" si="37"/>
        <v/>
      </c>
      <c r="AA129" s="47" t="str">
        <f t="shared" ca="1" si="37"/>
        <v/>
      </c>
      <c r="AB129" s="47" t="str">
        <f t="shared" ca="1" si="37"/>
        <v/>
      </c>
      <c r="AC129" s="47" t="str">
        <f t="shared" ca="1" si="37"/>
        <v/>
      </c>
    </row>
    <row r="130" spans="1:29" x14ac:dyDescent="0.3">
      <c r="A130" s="5">
        <f t="shared" si="22"/>
        <v>120</v>
      </c>
      <c r="B130" s="45" t="str">
        <f t="shared" ca="1" si="35"/>
        <v/>
      </c>
      <c r="C130" s="46" t="str">
        <f t="shared" ca="1" si="35"/>
        <v/>
      </c>
      <c r="D130" s="46" t="str">
        <f t="shared" ca="1" si="35"/>
        <v/>
      </c>
      <c r="E130" s="45" t="str">
        <f t="shared" ca="1" si="35"/>
        <v/>
      </c>
      <c r="F130" s="46" t="str">
        <f t="shared" ca="1" si="35"/>
        <v/>
      </c>
      <c r="G130" s="46" t="str">
        <f t="shared" ca="1" si="35"/>
        <v/>
      </c>
      <c r="H130" s="46" t="str">
        <f t="shared" ca="1" si="35"/>
        <v/>
      </c>
      <c r="I130" s="46" t="str">
        <f t="shared" ca="1" si="35"/>
        <v/>
      </c>
      <c r="J130" s="47" t="str">
        <f t="shared" ca="1" si="35"/>
        <v/>
      </c>
      <c r="K130" s="47" t="str">
        <f t="shared" ca="1" si="35"/>
        <v/>
      </c>
      <c r="L130" s="47" t="str">
        <f t="shared" ca="1" si="36"/>
        <v/>
      </c>
      <c r="M130" s="47" t="str">
        <f t="shared" ca="1" si="36"/>
        <v/>
      </c>
      <c r="N130" s="47" t="str">
        <f t="shared" ca="1" si="36"/>
        <v/>
      </c>
      <c r="O130" s="47" t="str">
        <f t="shared" ca="1" si="36"/>
        <v/>
      </c>
      <c r="P130" s="47" t="str">
        <f t="shared" ca="1" si="36"/>
        <v/>
      </c>
      <c r="Q130" s="47" t="str">
        <f t="shared" ca="1" si="36"/>
        <v/>
      </c>
      <c r="R130" s="47" t="str">
        <f t="shared" ca="1" si="36"/>
        <v/>
      </c>
      <c r="S130" s="47" t="str">
        <f t="shared" ca="1" si="36"/>
        <v/>
      </c>
      <c r="T130" s="47" t="str">
        <f t="shared" ca="1" si="36"/>
        <v/>
      </c>
      <c r="U130" s="47" t="str">
        <f t="shared" ca="1" si="36"/>
        <v/>
      </c>
      <c r="V130" s="47" t="str">
        <f t="shared" ca="1" si="37"/>
        <v/>
      </c>
      <c r="W130" s="47" t="str">
        <f t="shared" ca="1" si="37"/>
        <v/>
      </c>
      <c r="X130" s="47" t="str">
        <f t="shared" ca="1" si="37"/>
        <v/>
      </c>
      <c r="Y130" s="47" t="str">
        <f t="shared" ca="1" si="37"/>
        <v/>
      </c>
      <c r="Z130" s="47" t="str">
        <f t="shared" ca="1" si="37"/>
        <v/>
      </c>
      <c r="AA130" s="47" t="str">
        <f t="shared" ca="1" si="37"/>
        <v/>
      </c>
      <c r="AB130" s="47" t="str">
        <f t="shared" ca="1" si="37"/>
        <v/>
      </c>
      <c r="AC130" s="47" t="str">
        <f t="shared" ca="1" si="37"/>
        <v/>
      </c>
    </row>
    <row r="131" spans="1:29" x14ac:dyDescent="0.3">
      <c r="A131" s="5">
        <f t="shared" si="22"/>
        <v>121</v>
      </c>
      <c r="B131" s="45" t="str">
        <f t="shared" ca="1" si="35"/>
        <v/>
      </c>
      <c r="C131" s="46" t="str">
        <f t="shared" ca="1" si="35"/>
        <v/>
      </c>
      <c r="D131" s="46" t="str">
        <f t="shared" ca="1" si="35"/>
        <v/>
      </c>
      <c r="E131" s="45" t="str">
        <f t="shared" ca="1" si="35"/>
        <v/>
      </c>
      <c r="F131" s="46" t="str">
        <f t="shared" ca="1" si="35"/>
        <v/>
      </c>
      <c r="G131" s="46" t="str">
        <f t="shared" ca="1" si="35"/>
        <v/>
      </c>
      <c r="H131" s="46" t="str">
        <f t="shared" ca="1" si="35"/>
        <v/>
      </c>
      <c r="I131" s="46" t="str">
        <f t="shared" ca="1" si="35"/>
        <v/>
      </c>
      <c r="J131" s="47" t="str">
        <f t="shared" ca="1" si="35"/>
        <v/>
      </c>
      <c r="K131" s="47" t="str">
        <f t="shared" ca="1" si="35"/>
        <v/>
      </c>
      <c r="L131" s="47" t="str">
        <f t="shared" ca="1" si="36"/>
        <v/>
      </c>
      <c r="M131" s="47" t="str">
        <f t="shared" ca="1" si="36"/>
        <v/>
      </c>
      <c r="N131" s="47" t="str">
        <f t="shared" ca="1" si="36"/>
        <v/>
      </c>
      <c r="O131" s="47" t="str">
        <f t="shared" ca="1" si="36"/>
        <v/>
      </c>
      <c r="P131" s="47" t="str">
        <f t="shared" ca="1" si="36"/>
        <v/>
      </c>
      <c r="Q131" s="47" t="str">
        <f t="shared" ca="1" si="36"/>
        <v/>
      </c>
      <c r="R131" s="47" t="str">
        <f t="shared" ca="1" si="36"/>
        <v/>
      </c>
      <c r="S131" s="47" t="str">
        <f t="shared" ca="1" si="36"/>
        <v/>
      </c>
      <c r="T131" s="47" t="str">
        <f t="shared" ca="1" si="36"/>
        <v/>
      </c>
      <c r="U131" s="47" t="str">
        <f t="shared" ca="1" si="36"/>
        <v/>
      </c>
      <c r="V131" s="47" t="str">
        <f t="shared" ca="1" si="37"/>
        <v/>
      </c>
      <c r="W131" s="47" t="str">
        <f t="shared" ca="1" si="37"/>
        <v/>
      </c>
      <c r="X131" s="47" t="str">
        <f t="shared" ca="1" si="37"/>
        <v/>
      </c>
      <c r="Y131" s="47" t="str">
        <f t="shared" ca="1" si="37"/>
        <v/>
      </c>
      <c r="Z131" s="47" t="str">
        <f t="shared" ca="1" si="37"/>
        <v/>
      </c>
      <c r="AA131" s="47" t="str">
        <f t="shared" ca="1" si="37"/>
        <v/>
      </c>
      <c r="AB131" s="47" t="str">
        <f t="shared" ca="1" si="37"/>
        <v/>
      </c>
      <c r="AC131" s="47" t="str">
        <f t="shared" ca="1" si="37"/>
        <v/>
      </c>
    </row>
    <row r="132" spans="1:29" x14ac:dyDescent="0.3">
      <c r="A132" s="5">
        <f t="shared" si="22"/>
        <v>122</v>
      </c>
      <c r="B132" s="45" t="str">
        <f t="shared" ref="B132:K141" ca="1" si="38">IFERROR(IF(INDIRECT("raw!R"&amp;$A132&amp;"C"&amp;B$10,FALSE)&lt;&gt;"",INDIRECT("raw!R"&amp;$A132&amp;"C"&amp;B$10,FALSE),""),"")</f>
        <v/>
      </c>
      <c r="C132" s="46" t="str">
        <f t="shared" ca="1" si="38"/>
        <v/>
      </c>
      <c r="D132" s="46" t="str">
        <f t="shared" ca="1" si="38"/>
        <v/>
      </c>
      <c r="E132" s="45" t="str">
        <f t="shared" ca="1" si="38"/>
        <v/>
      </c>
      <c r="F132" s="46" t="str">
        <f t="shared" ca="1" si="38"/>
        <v/>
      </c>
      <c r="G132" s="46" t="str">
        <f t="shared" ca="1" si="38"/>
        <v/>
      </c>
      <c r="H132" s="46" t="str">
        <f t="shared" ca="1" si="38"/>
        <v/>
      </c>
      <c r="I132" s="46" t="str">
        <f t="shared" ca="1" si="38"/>
        <v/>
      </c>
      <c r="J132" s="47" t="str">
        <f t="shared" ca="1" si="38"/>
        <v/>
      </c>
      <c r="K132" s="47" t="str">
        <f t="shared" ca="1" si="38"/>
        <v/>
      </c>
      <c r="L132" s="47" t="str">
        <f t="shared" ref="L132:U141" ca="1" si="39">IFERROR(IF(INDIRECT("raw!R"&amp;$A132&amp;"C"&amp;L$10,FALSE)&lt;&gt;"",INDIRECT("raw!R"&amp;$A132&amp;"C"&amp;L$10,FALSE),""),"")</f>
        <v/>
      </c>
      <c r="M132" s="47" t="str">
        <f t="shared" ca="1" si="39"/>
        <v/>
      </c>
      <c r="N132" s="47" t="str">
        <f t="shared" ca="1" si="39"/>
        <v/>
      </c>
      <c r="O132" s="47" t="str">
        <f t="shared" ca="1" si="39"/>
        <v/>
      </c>
      <c r="P132" s="47" t="str">
        <f t="shared" ca="1" si="39"/>
        <v/>
      </c>
      <c r="Q132" s="47" t="str">
        <f t="shared" ca="1" si="39"/>
        <v/>
      </c>
      <c r="R132" s="47" t="str">
        <f t="shared" ca="1" si="39"/>
        <v/>
      </c>
      <c r="S132" s="47" t="str">
        <f t="shared" ca="1" si="39"/>
        <v/>
      </c>
      <c r="T132" s="47" t="str">
        <f t="shared" ca="1" si="39"/>
        <v/>
      </c>
      <c r="U132" s="47" t="str">
        <f t="shared" ca="1" si="39"/>
        <v/>
      </c>
      <c r="V132" s="47" t="str">
        <f t="shared" ref="V132:AC141" ca="1" si="40">IFERROR(IF(INDIRECT("raw!R"&amp;$A132&amp;"C"&amp;V$10,FALSE)&lt;&gt;"",INDIRECT("raw!R"&amp;$A132&amp;"C"&amp;V$10,FALSE),""),"")</f>
        <v/>
      </c>
      <c r="W132" s="47" t="str">
        <f t="shared" ca="1" si="40"/>
        <v/>
      </c>
      <c r="X132" s="47" t="str">
        <f t="shared" ca="1" si="40"/>
        <v/>
      </c>
      <c r="Y132" s="47" t="str">
        <f t="shared" ca="1" si="40"/>
        <v/>
      </c>
      <c r="Z132" s="47" t="str">
        <f t="shared" ca="1" si="40"/>
        <v/>
      </c>
      <c r="AA132" s="47" t="str">
        <f t="shared" ca="1" si="40"/>
        <v/>
      </c>
      <c r="AB132" s="47" t="str">
        <f t="shared" ca="1" si="40"/>
        <v/>
      </c>
      <c r="AC132" s="47" t="str">
        <f t="shared" ca="1" si="40"/>
        <v/>
      </c>
    </row>
    <row r="133" spans="1:29" x14ac:dyDescent="0.3">
      <c r="A133" s="5">
        <f t="shared" si="22"/>
        <v>123</v>
      </c>
      <c r="B133" s="45" t="str">
        <f t="shared" ca="1" si="38"/>
        <v/>
      </c>
      <c r="C133" s="46" t="str">
        <f t="shared" ca="1" si="38"/>
        <v/>
      </c>
      <c r="D133" s="46" t="str">
        <f t="shared" ca="1" si="38"/>
        <v/>
      </c>
      <c r="E133" s="45" t="str">
        <f t="shared" ca="1" si="38"/>
        <v/>
      </c>
      <c r="F133" s="46" t="str">
        <f t="shared" ca="1" si="38"/>
        <v/>
      </c>
      <c r="G133" s="46" t="str">
        <f t="shared" ca="1" si="38"/>
        <v/>
      </c>
      <c r="H133" s="46" t="str">
        <f t="shared" ca="1" si="38"/>
        <v/>
      </c>
      <c r="I133" s="46" t="str">
        <f t="shared" ca="1" si="38"/>
        <v/>
      </c>
      <c r="J133" s="47" t="str">
        <f t="shared" ca="1" si="38"/>
        <v/>
      </c>
      <c r="K133" s="47" t="str">
        <f t="shared" ca="1" si="38"/>
        <v/>
      </c>
      <c r="L133" s="47" t="str">
        <f t="shared" ca="1" si="39"/>
        <v/>
      </c>
      <c r="M133" s="47" t="str">
        <f t="shared" ca="1" si="39"/>
        <v/>
      </c>
      <c r="N133" s="47" t="str">
        <f t="shared" ca="1" si="39"/>
        <v/>
      </c>
      <c r="O133" s="47" t="str">
        <f t="shared" ca="1" si="39"/>
        <v/>
      </c>
      <c r="P133" s="47" t="str">
        <f t="shared" ca="1" si="39"/>
        <v/>
      </c>
      <c r="Q133" s="47" t="str">
        <f t="shared" ca="1" si="39"/>
        <v/>
      </c>
      <c r="R133" s="47" t="str">
        <f t="shared" ca="1" si="39"/>
        <v/>
      </c>
      <c r="S133" s="47" t="str">
        <f t="shared" ca="1" si="39"/>
        <v/>
      </c>
      <c r="T133" s="47" t="str">
        <f t="shared" ca="1" si="39"/>
        <v/>
      </c>
      <c r="U133" s="47" t="str">
        <f t="shared" ca="1" si="39"/>
        <v/>
      </c>
      <c r="V133" s="47" t="str">
        <f t="shared" ca="1" si="40"/>
        <v/>
      </c>
      <c r="W133" s="47" t="str">
        <f t="shared" ca="1" si="40"/>
        <v/>
      </c>
      <c r="X133" s="47" t="str">
        <f t="shared" ca="1" si="40"/>
        <v/>
      </c>
      <c r="Y133" s="47" t="str">
        <f t="shared" ca="1" si="40"/>
        <v/>
      </c>
      <c r="Z133" s="47" t="str">
        <f t="shared" ca="1" si="40"/>
        <v/>
      </c>
      <c r="AA133" s="47" t="str">
        <f t="shared" ca="1" si="40"/>
        <v/>
      </c>
      <c r="AB133" s="47" t="str">
        <f t="shared" ca="1" si="40"/>
        <v/>
      </c>
      <c r="AC133" s="47" t="str">
        <f t="shared" ca="1" si="40"/>
        <v/>
      </c>
    </row>
    <row r="134" spans="1:29" x14ac:dyDescent="0.3">
      <c r="A134" s="5">
        <f t="shared" si="22"/>
        <v>124</v>
      </c>
      <c r="B134" s="45" t="str">
        <f t="shared" ca="1" si="38"/>
        <v/>
      </c>
      <c r="C134" s="46" t="str">
        <f t="shared" ca="1" si="38"/>
        <v/>
      </c>
      <c r="D134" s="46" t="str">
        <f t="shared" ca="1" si="38"/>
        <v/>
      </c>
      <c r="E134" s="45" t="str">
        <f t="shared" ca="1" si="38"/>
        <v/>
      </c>
      <c r="F134" s="46" t="str">
        <f t="shared" ca="1" si="38"/>
        <v/>
      </c>
      <c r="G134" s="46" t="str">
        <f t="shared" ca="1" si="38"/>
        <v/>
      </c>
      <c r="H134" s="46" t="str">
        <f t="shared" ca="1" si="38"/>
        <v/>
      </c>
      <c r="I134" s="46" t="str">
        <f t="shared" ca="1" si="38"/>
        <v/>
      </c>
      <c r="J134" s="47" t="str">
        <f t="shared" ca="1" si="38"/>
        <v/>
      </c>
      <c r="K134" s="47" t="str">
        <f t="shared" ca="1" si="38"/>
        <v/>
      </c>
      <c r="L134" s="47" t="str">
        <f t="shared" ca="1" si="39"/>
        <v/>
      </c>
      <c r="M134" s="47" t="str">
        <f t="shared" ca="1" si="39"/>
        <v/>
      </c>
      <c r="N134" s="47" t="str">
        <f t="shared" ca="1" si="39"/>
        <v/>
      </c>
      <c r="O134" s="47" t="str">
        <f t="shared" ca="1" si="39"/>
        <v/>
      </c>
      <c r="P134" s="47" t="str">
        <f t="shared" ca="1" si="39"/>
        <v/>
      </c>
      <c r="Q134" s="47" t="str">
        <f t="shared" ca="1" si="39"/>
        <v/>
      </c>
      <c r="R134" s="47" t="str">
        <f t="shared" ca="1" si="39"/>
        <v/>
      </c>
      <c r="S134" s="47" t="str">
        <f t="shared" ca="1" si="39"/>
        <v/>
      </c>
      <c r="T134" s="47" t="str">
        <f t="shared" ca="1" si="39"/>
        <v/>
      </c>
      <c r="U134" s="47" t="str">
        <f t="shared" ca="1" si="39"/>
        <v/>
      </c>
      <c r="V134" s="47" t="str">
        <f t="shared" ca="1" si="40"/>
        <v/>
      </c>
      <c r="W134" s="47" t="str">
        <f t="shared" ca="1" si="40"/>
        <v/>
      </c>
      <c r="X134" s="47" t="str">
        <f t="shared" ca="1" si="40"/>
        <v/>
      </c>
      <c r="Y134" s="47" t="str">
        <f t="shared" ca="1" si="40"/>
        <v/>
      </c>
      <c r="Z134" s="47" t="str">
        <f t="shared" ca="1" si="40"/>
        <v/>
      </c>
      <c r="AA134" s="47" t="str">
        <f t="shared" ca="1" si="40"/>
        <v/>
      </c>
      <c r="AB134" s="47" t="str">
        <f t="shared" ca="1" si="40"/>
        <v/>
      </c>
      <c r="AC134" s="47" t="str">
        <f t="shared" ca="1" si="40"/>
        <v/>
      </c>
    </row>
    <row r="135" spans="1:29" x14ac:dyDescent="0.3">
      <c r="A135" s="5">
        <f t="shared" si="22"/>
        <v>125</v>
      </c>
      <c r="B135" s="45" t="str">
        <f t="shared" ca="1" si="38"/>
        <v/>
      </c>
      <c r="C135" s="46" t="str">
        <f t="shared" ca="1" si="38"/>
        <v/>
      </c>
      <c r="D135" s="46" t="str">
        <f t="shared" ca="1" si="38"/>
        <v/>
      </c>
      <c r="E135" s="45" t="str">
        <f t="shared" ca="1" si="38"/>
        <v/>
      </c>
      <c r="F135" s="46" t="str">
        <f t="shared" ca="1" si="38"/>
        <v/>
      </c>
      <c r="G135" s="46" t="str">
        <f t="shared" ca="1" si="38"/>
        <v/>
      </c>
      <c r="H135" s="46" t="str">
        <f t="shared" ca="1" si="38"/>
        <v/>
      </c>
      <c r="I135" s="46" t="str">
        <f t="shared" ca="1" si="38"/>
        <v/>
      </c>
      <c r="J135" s="47" t="str">
        <f t="shared" ca="1" si="38"/>
        <v/>
      </c>
      <c r="K135" s="47" t="str">
        <f t="shared" ca="1" si="38"/>
        <v/>
      </c>
      <c r="L135" s="47" t="str">
        <f t="shared" ca="1" si="39"/>
        <v/>
      </c>
      <c r="M135" s="47" t="str">
        <f t="shared" ca="1" si="39"/>
        <v/>
      </c>
      <c r="N135" s="47" t="str">
        <f t="shared" ca="1" si="39"/>
        <v/>
      </c>
      <c r="O135" s="47" t="str">
        <f t="shared" ca="1" si="39"/>
        <v/>
      </c>
      <c r="P135" s="47" t="str">
        <f t="shared" ca="1" si="39"/>
        <v/>
      </c>
      <c r="Q135" s="47" t="str">
        <f t="shared" ca="1" si="39"/>
        <v/>
      </c>
      <c r="R135" s="47" t="str">
        <f t="shared" ca="1" si="39"/>
        <v/>
      </c>
      <c r="S135" s="47" t="str">
        <f t="shared" ca="1" si="39"/>
        <v/>
      </c>
      <c r="T135" s="47" t="str">
        <f t="shared" ca="1" si="39"/>
        <v/>
      </c>
      <c r="U135" s="47" t="str">
        <f t="shared" ca="1" si="39"/>
        <v/>
      </c>
      <c r="V135" s="47" t="str">
        <f t="shared" ca="1" si="40"/>
        <v/>
      </c>
      <c r="W135" s="47" t="str">
        <f t="shared" ca="1" si="40"/>
        <v/>
      </c>
      <c r="X135" s="47" t="str">
        <f t="shared" ca="1" si="40"/>
        <v/>
      </c>
      <c r="Y135" s="47" t="str">
        <f t="shared" ca="1" si="40"/>
        <v/>
      </c>
      <c r="Z135" s="47" t="str">
        <f t="shared" ca="1" si="40"/>
        <v/>
      </c>
      <c r="AA135" s="47" t="str">
        <f t="shared" ca="1" si="40"/>
        <v/>
      </c>
      <c r="AB135" s="47" t="str">
        <f t="shared" ca="1" si="40"/>
        <v/>
      </c>
      <c r="AC135" s="47" t="str">
        <f t="shared" ca="1" si="40"/>
        <v/>
      </c>
    </row>
    <row r="136" spans="1:29" x14ac:dyDescent="0.3">
      <c r="A136" s="5">
        <f t="shared" si="22"/>
        <v>126</v>
      </c>
      <c r="B136" s="45" t="str">
        <f t="shared" ca="1" si="38"/>
        <v/>
      </c>
      <c r="C136" s="46" t="str">
        <f t="shared" ca="1" si="38"/>
        <v/>
      </c>
      <c r="D136" s="46" t="str">
        <f t="shared" ca="1" si="38"/>
        <v/>
      </c>
      <c r="E136" s="45" t="str">
        <f t="shared" ca="1" si="38"/>
        <v/>
      </c>
      <c r="F136" s="46" t="str">
        <f t="shared" ca="1" si="38"/>
        <v/>
      </c>
      <c r="G136" s="46" t="str">
        <f t="shared" ca="1" si="38"/>
        <v/>
      </c>
      <c r="H136" s="46" t="str">
        <f t="shared" ca="1" si="38"/>
        <v/>
      </c>
      <c r="I136" s="46" t="str">
        <f t="shared" ca="1" si="38"/>
        <v/>
      </c>
      <c r="J136" s="47" t="str">
        <f t="shared" ca="1" si="38"/>
        <v/>
      </c>
      <c r="K136" s="47" t="str">
        <f t="shared" ca="1" si="38"/>
        <v/>
      </c>
      <c r="L136" s="47" t="str">
        <f t="shared" ca="1" si="39"/>
        <v/>
      </c>
      <c r="M136" s="47" t="str">
        <f t="shared" ca="1" si="39"/>
        <v/>
      </c>
      <c r="N136" s="47" t="str">
        <f t="shared" ca="1" si="39"/>
        <v/>
      </c>
      <c r="O136" s="47" t="str">
        <f t="shared" ca="1" si="39"/>
        <v/>
      </c>
      <c r="P136" s="47" t="str">
        <f t="shared" ca="1" si="39"/>
        <v/>
      </c>
      <c r="Q136" s="47" t="str">
        <f t="shared" ca="1" si="39"/>
        <v/>
      </c>
      <c r="R136" s="47" t="str">
        <f t="shared" ca="1" si="39"/>
        <v/>
      </c>
      <c r="S136" s="47" t="str">
        <f t="shared" ca="1" si="39"/>
        <v/>
      </c>
      <c r="T136" s="47" t="str">
        <f t="shared" ca="1" si="39"/>
        <v/>
      </c>
      <c r="U136" s="47" t="str">
        <f t="shared" ca="1" si="39"/>
        <v/>
      </c>
      <c r="V136" s="47" t="str">
        <f t="shared" ca="1" si="40"/>
        <v/>
      </c>
      <c r="W136" s="47" t="str">
        <f t="shared" ca="1" si="40"/>
        <v/>
      </c>
      <c r="X136" s="47" t="str">
        <f t="shared" ca="1" si="40"/>
        <v/>
      </c>
      <c r="Y136" s="47" t="str">
        <f t="shared" ca="1" si="40"/>
        <v/>
      </c>
      <c r="Z136" s="47" t="str">
        <f t="shared" ca="1" si="40"/>
        <v/>
      </c>
      <c r="AA136" s="47" t="str">
        <f t="shared" ca="1" si="40"/>
        <v/>
      </c>
      <c r="AB136" s="47" t="str">
        <f t="shared" ca="1" si="40"/>
        <v/>
      </c>
      <c r="AC136" s="47" t="str">
        <f t="shared" ca="1" si="40"/>
        <v/>
      </c>
    </row>
    <row r="137" spans="1:29" x14ac:dyDescent="0.3">
      <c r="A137" s="5">
        <f t="shared" si="22"/>
        <v>127</v>
      </c>
      <c r="B137" s="45" t="str">
        <f t="shared" ca="1" si="38"/>
        <v/>
      </c>
      <c r="C137" s="46" t="str">
        <f t="shared" ca="1" si="38"/>
        <v/>
      </c>
      <c r="D137" s="46" t="str">
        <f t="shared" ca="1" si="38"/>
        <v/>
      </c>
      <c r="E137" s="45" t="str">
        <f t="shared" ca="1" si="38"/>
        <v/>
      </c>
      <c r="F137" s="46" t="str">
        <f t="shared" ca="1" si="38"/>
        <v/>
      </c>
      <c r="G137" s="46" t="str">
        <f t="shared" ca="1" si="38"/>
        <v/>
      </c>
      <c r="H137" s="46" t="str">
        <f t="shared" ca="1" si="38"/>
        <v/>
      </c>
      <c r="I137" s="46" t="str">
        <f t="shared" ca="1" si="38"/>
        <v/>
      </c>
      <c r="J137" s="47" t="str">
        <f t="shared" ca="1" si="38"/>
        <v/>
      </c>
      <c r="K137" s="47" t="str">
        <f t="shared" ca="1" si="38"/>
        <v/>
      </c>
      <c r="L137" s="47" t="str">
        <f t="shared" ca="1" si="39"/>
        <v/>
      </c>
      <c r="M137" s="47" t="str">
        <f t="shared" ca="1" si="39"/>
        <v/>
      </c>
      <c r="N137" s="47" t="str">
        <f t="shared" ca="1" si="39"/>
        <v/>
      </c>
      <c r="O137" s="47" t="str">
        <f t="shared" ca="1" si="39"/>
        <v/>
      </c>
      <c r="P137" s="47" t="str">
        <f t="shared" ca="1" si="39"/>
        <v/>
      </c>
      <c r="Q137" s="47" t="str">
        <f t="shared" ca="1" si="39"/>
        <v/>
      </c>
      <c r="R137" s="47" t="str">
        <f t="shared" ca="1" si="39"/>
        <v/>
      </c>
      <c r="S137" s="47" t="str">
        <f t="shared" ca="1" si="39"/>
        <v/>
      </c>
      <c r="T137" s="47" t="str">
        <f t="shared" ca="1" si="39"/>
        <v/>
      </c>
      <c r="U137" s="47" t="str">
        <f t="shared" ca="1" si="39"/>
        <v/>
      </c>
      <c r="V137" s="47" t="str">
        <f t="shared" ca="1" si="40"/>
        <v/>
      </c>
      <c r="W137" s="47" t="str">
        <f t="shared" ca="1" si="40"/>
        <v/>
      </c>
      <c r="X137" s="47" t="str">
        <f t="shared" ca="1" si="40"/>
        <v/>
      </c>
      <c r="Y137" s="47" t="str">
        <f t="shared" ca="1" si="40"/>
        <v/>
      </c>
      <c r="Z137" s="47" t="str">
        <f t="shared" ca="1" si="40"/>
        <v/>
      </c>
      <c r="AA137" s="47" t="str">
        <f t="shared" ca="1" si="40"/>
        <v/>
      </c>
      <c r="AB137" s="47" t="str">
        <f t="shared" ca="1" si="40"/>
        <v/>
      </c>
      <c r="AC137" s="47" t="str">
        <f t="shared" ca="1" si="40"/>
        <v/>
      </c>
    </row>
    <row r="138" spans="1:29" x14ac:dyDescent="0.3">
      <c r="A138" s="5">
        <f t="shared" si="22"/>
        <v>128</v>
      </c>
      <c r="B138" s="45" t="str">
        <f t="shared" ca="1" si="38"/>
        <v/>
      </c>
      <c r="C138" s="46" t="str">
        <f t="shared" ca="1" si="38"/>
        <v/>
      </c>
      <c r="D138" s="46" t="str">
        <f t="shared" ca="1" si="38"/>
        <v/>
      </c>
      <c r="E138" s="45" t="str">
        <f t="shared" ca="1" si="38"/>
        <v/>
      </c>
      <c r="F138" s="46" t="str">
        <f t="shared" ca="1" si="38"/>
        <v/>
      </c>
      <c r="G138" s="46" t="str">
        <f t="shared" ca="1" si="38"/>
        <v/>
      </c>
      <c r="H138" s="46" t="str">
        <f t="shared" ca="1" si="38"/>
        <v/>
      </c>
      <c r="I138" s="46" t="str">
        <f t="shared" ca="1" si="38"/>
        <v/>
      </c>
      <c r="J138" s="47" t="str">
        <f t="shared" ca="1" si="38"/>
        <v/>
      </c>
      <c r="K138" s="47" t="str">
        <f t="shared" ca="1" si="38"/>
        <v/>
      </c>
      <c r="L138" s="47" t="str">
        <f t="shared" ca="1" si="39"/>
        <v/>
      </c>
      <c r="M138" s="47" t="str">
        <f t="shared" ca="1" si="39"/>
        <v/>
      </c>
      <c r="N138" s="47" t="str">
        <f t="shared" ca="1" si="39"/>
        <v/>
      </c>
      <c r="O138" s="47" t="str">
        <f t="shared" ca="1" si="39"/>
        <v/>
      </c>
      <c r="P138" s="47" t="str">
        <f t="shared" ca="1" si="39"/>
        <v/>
      </c>
      <c r="Q138" s="47" t="str">
        <f t="shared" ca="1" si="39"/>
        <v/>
      </c>
      <c r="R138" s="47" t="str">
        <f t="shared" ca="1" si="39"/>
        <v/>
      </c>
      <c r="S138" s="47" t="str">
        <f t="shared" ca="1" si="39"/>
        <v/>
      </c>
      <c r="T138" s="47" t="str">
        <f t="shared" ca="1" si="39"/>
        <v/>
      </c>
      <c r="U138" s="47" t="str">
        <f t="shared" ca="1" si="39"/>
        <v/>
      </c>
      <c r="V138" s="47" t="str">
        <f t="shared" ca="1" si="40"/>
        <v/>
      </c>
      <c r="W138" s="47" t="str">
        <f t="shared" ca="1" si="40"/>
        <v/>
      </c>
      <c r="X138" s="47" t="str">
        <f t="shared" ca="1" si="40"/>
        <v/>
      </c>
      <c r="Y138" s="47" t="str">
        <f t="shared" ca="1" si="40"/>
        <v/>
      </c>
      <c r="Z138" s="47" t="str">
        <f t="shared" ca="1" si="40"/>
        <v/>
      </c>
      <c r="AA138" s="47" t="str">
        <f t="shared" ca="1" si="40"/>
        <v/>
      </c>
      <c r="AB138" s="47" t="str">
        <f t="shared" ca="1" si="40"/>
        <v/>
      </c>
      <c r="AC138" s="47" t="str">
        <f t="shared" ca="1" si="40"/>
        <v/>
      </c>
    </row>
    <row r="139" spans="1:29" x14ac:dyDescent="0.3">
      <c r="A139" s="5">
        <f t="shared" si="22"/>
        <v>129</v>
      </c>
      <c r="B139" s="45" t="str">
        <f t="shared" ca="1" si="38"/>
        <v/>
      </c>
      <c r="C139" s="46" t="str">
        <f t="shared" ca="1" si="38"/>
        <v/>
      </c>
      <c r="D139" s="46" t="str">
        <f t="shared" ca="1" si="38"/>
        <v/>
      </c>
      <c r="E139" s="45" t="str">
        <f t="shared" ca="1" si="38"/>
        <v/>
      </c>
      <c r="F139" s="46" t="str">
        <f t="shared" ca="1" si="38"/>
        <v/>
      </c>
      <c r="G139" s="46" t="str">
        <f t="shared" ca="1" si="38"/>
        <v/>
      </c>
      <c r="H139" s="46" t="str">
        <f t="shared" ca="1" si="38"/>
        <v/>
      </c>
      <c r="I139" s="46" t="str">
        <f t="shared" ca="1" si="38"/>
        <v/>
      </c>
      <c r="J139" s="47" t="str">
        <f t="shared" ca="1" si="38"/>
        <v/>
      </c>
      <c r="K139" s="47" t="str">
        <f t="shared" ca="1" si="38"/>
        <v/>
      </c>
      <c r="L139" s="47" t="str">
        <f t="shared" ca="1" si="39"/>
        <v/>
      </c>
      <c r="M139" s="47" t="str">
        <f t="shared" ca="1" si="39"/>
        <v/>
      </c>
      <c r="N139" s="47" t="str">
        <f t="shared" ca="1" si="39"/>
        <v/>
      </c>
      <c r="O139" s="47" t="str">
        <f t="shared" ca="1" si="39"/>
        <v/>
      </c>
      <c r="P139" s="47" t="str">
        <f t="shared" ca="1" si="39"/>
        <v/>
      </c>
      <c r="Q139" s="47" t="str">
        <f t="shared" ca="1" si="39"/>
        <v/>
      </c>
      <c r="R139" s="47" t="str">
        <f t="shared" ca="1" si="39"/>
        <v/>
      </c>
      <c r="S139" s="47" t="str">
        <f t="shared" ca="1" si="39"/>
        <v/>
      </c>
      <c r="T139" s="47" t="str">
        <f t="shared" ca="1" si="39"/>
        <v/>
      </c>
      <c r="U139" s="47" t="str">
        <f t="shared" ca="1" si="39"/>
        <v/>
      </c>
      <c r="V139" s="47" t="str">
        <f t="shared" ca="1" si="40"/>
        <v/>
      </c>
      <c r="W139" s="47" t="str">
        <f t="shared" ca="1" si="40"/>
        <v/>
      </c>
      <c r="X139" s="47" t="str">
        <f t="shared" ca="1" si="40"/>
        <v/>
      </c>
      <c r="Y139" s="47" t="str">
        <f t="shared" ca="1" si="40"/>
        <v/>
      </c>
      <c r="Z139" s="47" t="str">
        <f t="shared" ca="1" si="40"/>
        <v/>
      </c>
      <c r="AA139" s="47" t="str">
        <f t="shared" ca="1" si="40"/>
        <v/>
      </c>
      <c r="AB139" s="47" t="str">
        <f t="shared" ca="1" si="40"/>
        <v/>
      </c>
      <c r="AC139" s="47" t="str">
        <f t="shared" ca="1" si="40"/>
        <v/>
      </c>
    </row>
    <row r="140" spans="1:29" x14ac:dyDescent="0.3">
      <c r="A140" s="5">
        <f t="shared" si="22"/>
        <v>130</v>
      </c>
      <c r="B140" s="45" t="str">
        <f t="shared" ca="1" si="38"/>
        <v/>
      </c>
      <c r="C140" s="46" t="str">
        <f t="shared" ca="1" si="38"/>
        <v/>
      </c>
      <c r="D140" s="46" t="str">
        <f t="shared" ca="1" si="38"/>
        <v/>
      </c>
      <c r="E140" s="45" t="str">
        <f t="shared" ca="1" si="38"/>
        <v/>
      </c>
      <c r="F140" s="46" t="str">
        <f t="shared" ca="1" si="38"/>
        <v/>
      </c>
      <c r="G140" s="46" t="str">
        <f t="shared" ca="1" si="38"/>
        <v/>
      </c>
      <c r="H140" s="46" t="str">
        <f t="shared" ca="1" si="38"/>
        <v/>
      </c>
      <c r="I140" s="46" t="str">
        <f t="shared" ca="1" si="38"/>
        <v/>
      </c>
      <c r="J140" s="47" t="str">
        <f t="shared" ca="1" si="38"/>
        <v/>
      </c>
      <c r="K140" s="47" t="str">
        <f t="shared" ca="1" si="38"/>
        <v/>
      </c>
      <c r="L140" s="47" t="str">
        <f t="shared" ca="1" si="39"/>
        <v/>
      </c>
      <c r="M140" s="47" t="str">
        <f t="shared" ca="1" si="39"/>
        <v/>
      </c>
      <c r="N140" s="47" t="str">
        <f t="shared" ca="1" si="39"/>
        <v/>
      </c>
      <c r="O140" s="47" t="str">
        <f t="shared" ca="1" si="39"/>
        <v/>
      </c>
      <c r="P140" s="47" t="str">
        <f t="shared" ca="1" si="39"/>
        <v/>
      </c>
      <c r="Q140" s="47" t="str">
        <f t="shared" ca="1" si="39"/>
        <v/>
      </c>
      <c r="R140" s="47" t="str">
        <f t="shared" ca="1" si="39"/>
        <v/>
      </c>
      <c r="S140" s="47" t="str">
        <f t="shared" ca="1" si="39"/>
        <v/>
      </c>
      <c r="T140" s="47" t="str">
        <f t="shared" ca="1" si="39"/>
        <v/>
      </c>
      <c r="U140" s="47" t="str">
        <f t="shared" ca="1" si="39"/>
        <v/>
      </c>
      <c r="V140" s="47" t="str">
        <f t="shared" ca="1" si="40"/>
        <v/>
      </c>
      <c r="W140" s="47" t="str">
        <f t="shared" ca="1" si="40"/>
        <v/>
      </c>
      <c r="X140" s="47" t="str">
        <f t="shared" ca="1" si="40"/>
        <v/>
      </c>
      <c r="Y140" s="47" t="str">
        <f t="shared" ca="1" si="40"/>
        <v/>
      </c>
      <c r="Z140" s="47" t="str">
        <f t="shared" ca="1" si="40"/>
        <v/>
      </c>
      <c r="AA140" s="47" t="str">
        <f t="shared" ca="1" si="40"/>
        <v/>
      </c>
      <c r="AB140" s="47" t="str">
        <f t="shared" ca="1" si="40"/>
        <v/>
      </c>
      <c r="AC140" s="47" t="str">
        <f t="shared" ca="1" si="40"/>
        <v/>
      </c>
    </row>
    <row r="141" spans="1:29" x14ac:dyDescent="0.3">
      <c r="A141" s="5">
        <f t="shared" ref="A141:A204" si="41">A140+1</f>
        <v>131</v>
      </c>
      <c r="B141" s="45" t="str">
        <f t="shared" ca="1" si="38"/>
        <v/>
      </c>
      <c r="C141" s="46" t="str">
        <f t="shared" ca="1" si="38"/>
        <v/>
      </c>
      <c r="D141" s="46" t="str">
        <f t="shared" ca="1" si="38"/>
        <v/>
      </c>
      <c r="E141" s="45" t="str">
        <f t="shared" ca="1" si="38"/>
        <v/>
      </c>
      <c r="F141" s="46" t="str">
        <f t="shared" ca="1" si="38"/>
        <v/>
      </c>
      <c r="G141" s="46" t="str">
        <f t="shared" ca="1" si="38"/>
        <v/>
      </c>
      <c r="H141" s="46" t="str">
        <f t="shared" ca="1" si="38"/>
        <v/>
      </c>
      <c r="I141" s="46" t="str">
        <f t="shared" ca="1" si="38"/>
        <v/>
      </c>
      <c r="J141" s="47" t="str">
        <f t="shared" ca="1" si="38"/>
        <v/>
      </c>
      <c r="K141" s="47" t="str">
        <f t="shared" ca="1" si="38"/>
        <v/>
      </c>
      <c r="L141" s="47" t="str">
        <f t="shared" ca="1" si="39"/>
        <v/>
      </c>
      <c r="M141" s="47" t="str">
        <f t="shared" ca="1" si="39"/>
        <v/>
      </c>
      <c r="N141" s="47" t="str">
        <f t="shared" ca="1" si="39"/>
        <v/>
      </c>
      <c r="O141" s="47" t="str">
        <f t="shared" ca="1" si="39"/>
        <v/>
      </c>
      <c r="P141" s="47" t="str">
        <f t="shared" ca="1" si="39"/>
        <v/>
      </c>
      <c r="Q141" s="47" t="str">
        <f t="shared" ca="1" si="39"/>
        <v/>
      </c>
      <c r="R141" s="47" t="str">
        <f t="shared" ca="1" si="39"/>
        <v/>
      </c>
      <c r="S141" s="47" t="str">
        <f t="shared" ca="1" si="39"/>
        <v/>
      </c>
      <c r="T141" s="47" t="str">
        <f t="shared" ca="1" si="39"/>
        <v/>
      </c>
      <c r="U141" s="47" t="str">
        <f t="shared" ca="1" si="39"/>
        <v/>
      </c>
      <c r="V141" s="47" t="str">
        <f t="shared" ca="1" si="40"/>
        <v/>
      </c>
      <c r="W141" s="47" t="str">
        <f t="shared" ca="1" si="40"/>
        <v/>
      </c>
      <c r="X141" s="47" t="str">
        <f t="shared" ca="1" si="40"/>
        <v/>
      </c>
      <c r="Y141" s="47" t="str">
        <f t="shared" ca="1" si="40"/>
        <v/>
      </c>
      <c r="Z141" s="47" t="str">
        <f t="shared" ca="1" si="40"/>
        <v/>
      </c>
      <c r="AA141" s="47" t="str">
        <f t="shared" ca="1" si="40"/>
        <v/>
      </c>
      <c r="AB141" s="47" t="str">
        <f t="shared" ca="1" si="40"/>
        <v/>
      </c>
      <c r="AC141" s="47" t="str">
        <f t="shared" ca="1" si="40"/>
        <v/>
      </c>
    </row>
    <row r="142" spans="1:29" x14ac:dyDescent="0.3">
      <c r="A142" s="5">
        <f t="shared" si="41"/>
        <v>132</v>
      </c>
      <c r="B142" s="45" t="str">
        <f t="shared" ref="B142:K151" ca="1" si="42">IFERROR(IF(INDIRECT("raw!R"&amp;$A142&amp;"C"&amp;B$10,FALSE)&lt;&gt;"",INDIRECT("raw!R"&amp;$A142&amp;"C"&amp;B$10,FALSE),""),"")</f>
        <v/>
      </c>
      <c r="C142" s="46" t="str">
        <f t="shared" ca="1" si="42"/>
        <v/>
      </c>
      <c r="D142" s="46" t="str">
        <f t="shared" ca="1" si="42"/>
        <v/>
      </c>
      <c r="E142" s="45" t="str">
        <f t="shared" ca="1" si="42"/>
        <v/>
      </c>
      <c r="F142" s="46" t="str">
        <f t="shared" ca="1" si="42"/>
        <v/>
      </c>
      <c r="G142" s="46" t="str">
        <f t="shared" ca="1" si="42"/>
        <v/>
      </c>
      <c r="H142" s="46" t="str">
        <f t="shared" ca="1" si="42"/>
        <v/>
      </c>
      <c r="I142" s="46" t="str">
        <f t="shared" ca="1" si="42"/>
        <v/>
      </c>
      <c r="J142" s="47" t="str">
        <f t="shared" ca="1" si="42"/>
        <v/>
      </c>
      <c r="K142" s="47" t="str">
        <f t="shared" ca="1" si="42"/>
        <v/>
      </c>
      <c r="L142" s="47" t="str">
        <f t="shared" ref="L142:U151" ca="1" si="43">IFERROR(IF(INDIRECT("raw!R"&amp;$A142&amp;"C"&amp;L$10,FALSE)&lt;&gt;"",INDIRECT("raw!R"&amp;$A142&amp;"C"&amp;L$10,FALSE),""),"")</f>
        <v/>
      </c>
      <c r="M142" s="47" t="str">
        <f t="shared" ca="1" si="43"/>
        <v/>
      </c>
      <c r="N142" s="47" t="str">
        <f t="shared" ca="1" si="43"/>
        <v/>
      </c>
      <c r="O142" s="47" t="str">
        <f t="shared" ca="1" si="43"/>
        <v/>
      </c>
      <c r="P142" s="47" t="str">
        <f t="shared" ca="1" si="43"/>
        <v/>
      </c>
      <c r="Q142" s="47" t="str">
        <f t="shared" ca="1" si="43"/>
        <v/>
      </c>
      <c r="R142" s="47" t="str">
        <f t="shared" ca="1" si="43"/>
        <v/>
      </c>
      <c r="S142" s="47" t="str">
        <f t="shared" ca="1" si="43"/>
        <v/>
      </c>
      <c r="T142" s="47" t="str">
        <f t="shared" ca="1" si="43"/>
        <v/>
      </c>
      <c r="U142" s="47" t="str">
        <f t="shared" ca="1" si="43"/>
        <v/>
      </c>
      <c r="V142" s="47" t="str">
        <f t="shared" ref="V142:AC151" ca="1" si="44">IFERROR(IF(INDIRECT("raw!R"&amp;$A142&amp;"C"&amp;V$10,FALSE)&lt;&gt;"",INDIRECT("raw!R"&amp;$A142&amp;"C"&amp;V$10,FALSE),""),"")</f>
        <v/>
      </c>
      <c r="W142" s="47" t="str">
        <f t="shared" ca="1" si="44"/>
        <v/>
      </c>
      <c r="X142" s="47" t="str">
        <f t="shared" ca="1" si="44"/>
        <v/>
      </c>
      <c r="Y142" s="47" t="str">
        <f t="shared" ca="1" si="44"/>
        <v/>
      </c>
      <c r="Z142" s="47" t="str">
        <f t="shared" ca="1" si="44"/>
        <v/>
      </c>
      <c r="AA142" s="47" t="str">
        <f t="shared" ca="1" si="44"/>
        <v/>
      </c>
      <c r="AB142" s="47" t="str">
        <f t="shared" ca="1" si="44"/>
        <v/>
      </c>
      <c r="AC142" s="47" t="str">
        <f t="shared" ca="1" si="44"/>
        <v/>
      </c>
    </row>
    <row r="143" spans="1:29" x14ac:dyDescent="0.3">
      <c r="A143" s="5">
        <f t="shared" si="41"/>
        <v>133</v>
      </c>
      <c r="B143" s="45" t="str">
        <f t="shared" ca="1" si="42"/>
        <v/>
      </c>
      <c r="C143" s="46" t="str">
        <f t="shared" ca="1" si="42"/>
        <v/>
      </c>
      <c r="D143" s="46" t="str">
        <f t="shared" ca="1" si="42"/>
        <v/>
      </c>
      <c r="E143" s="45" t="str">
        <f t="shared" ca="1" si="42"/>
        <v/>
      </c>
      <c r="F143" s="46" t="str">
        <f t="shared" ca="1" si="42"/>
        <v/>
      </c>
      <c r="G143" s="46" t="str">
        <f t="shared" ca="1" si="42"/>
        <v/>
      </c>
      <c r="H143" s="46" t="str">
        <f t="shared" ca="1" si="42"/>
        <v/>
      </c>
      <c r="I143" s="46" t="str">
        <f t="shared" ca="1" si="42"/>
        <v/>
      </c>
      <c r="J143" s="47" t="str">
        <f t="shared" ca="1" si="42"/>
        <v/>
      </c>
      <c r="K143" s="47" t="str">
        <f t="shared" ca="1" si="42"/>
        <v/>
      </c>
      <c r="L143" s="47" t="str">
        <f t="shared" ca="1" si="43"/>
        <v/>
      </c>
      <c r="M143" s="47" t="str">
        <f t="shared" ca="1" si="43"/>
        <v/>
      </c>
      <c r="N143" s="47" t="str">
        <f t="shared" ca="1" si="43"/>
        <v/>
      </c>
      <c r="O143" s="47" t="str">
        <f t="shared" ca="1" si="43"/>
        <v/>
      </c>
      <c r="P143" s="47" t="str">
        <f t="shared" ca="1" si="43"/>
        <v/>
      </c>
      <c r="Q143" s="47" t="str">
        <f t="shared" ca="1" si="43"/>
        <v/>
      </c>
      <c r="R143" s="47" t="str">
        <f t="shared" ca="1" si="43"/>
        <v/>
      </c>
      <c r="S143" s="47" t="str">
        <f t="shared" ca="1" si="43"/>
        <v/>
      </c>
      <c r="T143" s="47" t="str">
        <f t="shared" ca="1" si="43"/>
        <v/>
      </c>
      <c r="U143" s="47" t="str">
        <f t="shared" ca="1" si="43"/>
        <v/>
      </c>
      <c r="V143" s="47" t="str">
        <f t="shared" ca="1" si="44"/>
        <v/>
      </c>
      <c r="W143" s="47" t="str">
        <f t="shared" ca="1" si="44"/>
        <v/>
      </c>
      <c r="X143" s="47" t="str">
        <f t="shared" ca="1" si="44"/>
        <v/>
      </c>
      <c r="Y143" s="47" t="str">
        <f t="shared" ca="1" si="44"/>
        <v/>
      </c>
      <c r="Z143" s="47" t="str">
        <f t="shared" ca="1" si="44"/>
        <v/>
      </c>
      <c r="AA143" s="47" t="str">
        <f t="shared" ca="1" si="44"/>
        <v/>
      </c>
      <c r="AB143" s="47" t="str">
        <f t="shared" ca="1" si="44"/>
        <v/>
      </c>
      <c r="AC143" s="47" t="str">
        <f t="shared" ca="1" si="44"/>
        <v/>
      </c>
    </row>
    <row r="144" spans="1:29" x14ac:dyDescent="0.3">
      <c r="A144" s="5">
        <f t="shared" si="41"/>
        <v>134</v>
      </c>
      <c r="B144" s="45" t="str">
        <f t="shared" ca="1" si="42"/>
        <v/>
      </c>
      <c r="C144" s="46" t="str">
        <f t="shared" ca="1" si="42"/>
        <v/>
      </c>
      <c r="D144" s="46" t="str">
        <f t="shared" ca="1" si="42"/>
        <v/>
      </c>
      <c r="E144" s="45" t="str">
        <f t="shared" ca="1" si="42"/>
        <v/>
      </c>
      <c r="F144" s="46" t="str">
        <f t="shared" ca="1" si="42"/>
        <v/>
      </c>
      <c r="G144" s="46" t="str">
        <f t="shared" ca="1" si="42"/>
        <v/>
      </c>
      <c r="H144" s="46" t="str">
        <f t="shared" ca="1" si="42"/>
        <v/>
      </c>
      <c r="I144" s="46" t="str">
        <f t="shared" ca="1" si="42"/>
        <v/>
      </c>
      <c r="J144" s="47" t="str">
        <f t="shared" ca="1" si="42"/>
        <v/>
      </c>
      <c r="K144" s="47" t="str">
        <f t="shared" ca="1" si="42"/>
        <v/>
      </c>
      <c r="L144" s="47" t="str">
        <f t="shared" ca="1" si="43"/>
        <v/>
      </c>
      <c r="M144" s="47" t="str">
        <f t="shared" ca="1" si="43"/>
        <v/>
      </c>
      <c r="N144" s="47" t="str">
        <f t="shared" ca="1" si="43"/>
        <v/>
      </c>
      <c r="O144" s="47" t="str">
        <f t="shared" ca="1" si="43"/>
        <v/>
      </c>
      <c r="P144" s="47" t="str">
        <f t="shared" ca="1" si="43"/>
        <v/>
      </c>
      <c r="Q144" s="47" t="str">
        <f t="shared" ca="1" si="43"/>
        <v/>
      </c>
      <c r="R144" s="47" t="str">
        <f t="shared" ca="1" si="43"/>
        <v/>
      </c>
      <c r="S144" s="47" t="str">
        <f t="shared" ca="1" si="43"/>
        <v/>
      </c>
      <c r="T144" s="47" t="str">
        <f t="shared" ca="1" si="43"/>
        <v/>
      </c>
      <c r="U144" s="47" t="str">
        <f t="shared" ca="1" si="43"/>
        <v/>
      </c>
      <c r="V144" s="47" t="str">
        <f t="shared" ca="1" si="44"/>
        <v/>
      </c>
      <c r="W144" s="47" t="str">
        <f t="shared" ca="1" si="44"/>
        <v/>
      </c>
      <c r="X144" s="47" t="str">
        <f t="shared" ca="1" si="44"/>
        <v/>
      </c>
      <c r="Y144" s="47" t="str">
        <f t="shared" ca="1" si="44"/>
        <v/>
      </c>
      <c r="Z144" s="47" t="str">
        <f t="shared" ca="1" si="44"/>
        <v/>
      </c>
      <c r="AA144" s="47" t="str">
        <f t="shared" ca="1" si="44"/>
        <v/>
      </c>
      <c r="AB144" s="47" t="str">
        <f t="shared" ca="1" si="44"/>
        <v/>
      </c>
      <c r="AC144" s="47" t="str">
        <f t="shared" ca="1" si="44"/>
        <v/>
      </c>
    </row>
    <row r="145" spans="1:29" x14ac:dyDescent="0.3">
      <c r="A145" s="5">
        <f t="shared" si="41"/>
        <v>135</v>
      </c>
      <c r="B145" s="45" t="str">
        <f t="shared" ca="1" si="42"/>
        <v/>
      </c>
      <c r="C145" s="46" t="str">
        <f t="shared" ca="1" si="42"/>
        <v/>
      </c>
      <c r="D145" s="46" t="str">
        <f t="shared" ca="1" si="42"/>
        <v/>
      </c>
      <c r="E145" s="45" t="str">
        <f t="shared" ca="1" si="42"/>
        <v/>
      </c>
      <c r="F145" s="46" t="str">
        <f t="shared" ca="1" si="42"/>
        <v/>
      </c>
      <c r="G145" s="46" t="str">
        <f t="shared" ca="1" si="42"/>
        <v/>
      </c>
      <c r="H145" s="46" t="str">
        <f t="shared" ca="1" si="42"/>
        <v/>
      </c>
      <c r="I145" s="46" t="str">
        <f t="shared" ca="1" si="42"/>
        <v/>
      </c>
      <c r="J145" s="47" t="str">
        <f t="shared" ca="1" si="42"/>
        <v/>
      </c>
      <c r="K145" s="47" t="str">
        <f t="shared" ca="1" si="42"/>
        <v/>
      </c>
      <c r="L145" s="47" t="str">
        <f t="shared" ca="1" si="43"/>
        <v/>
      </c>
      <c r="M145" s="47" t="str">
        <f t="shared" ca="1" si="43"/>
        <v/>
      </c>
      <c r="N145" s="47" t="str">
        <f t="shared" ca="1" si="43"/>
        <v/>
      </c>
      <c r="O145" s="47" t="str">
        <f t="shared" ca="1" si="43"/>
        <v/>
      </c>
      <c r="P145" s="47" t="str">
        <f t="shared" ca="1" si="43"/>
        <v/>
      </c>
      <c r="Q145" s="47" t="str">
        <f t="shared" ca="1" si="43"/>
        <v/>
      </c>
      <c r="R145" s="47" t="str">
        <f t="shared" ca="1" si="43"/>
        <v/>
      </c>
      <c r="S145" s="47" t="str">
        <f t="shared" ca="1" si="43"/>
        <v/>
      </c>
      <c r="T145" s="47" t="str">
        <f t="shared" ca="1" si="43"/>
        <v/>
      </c>
      <c r="U145" s="47" t="str">
        <f t="shared" ca="1" si="43"/>
        <v/>
      </c>
      <c r="V145" s="47" t="str">
        <f t="shared" ca="1" si="44"/>
        <v/>
      </c>
      <c r="W145" s="47" t="str">
        <f t="shared" ca="1" si="44"/>
        <v/>
      </c>
      <c r="X145" s="47" t="str">
        <f t="shared" ca="1" si="44"/>
        <v/>
      </c>
      <c r="Y145" s="47" t="str">
        <f t="shared" ca="1" si="44"/>
        <v/>
      </c>
      <c r="Z145" s="47" t="str">
        <f t="shared" ca="1" si="44"/>
        <v/>
      </c>
      <c r="AA145" s="47" t="str">
        <f t="shared" ca="1" si="44"/>
        <v/>
      </c>
      <c r="AB145" s="47" t="str">
        <f t="shared" ca="1" si="44"/>
        <v/>
      </c>
      <c r="AC145" s="47" t="str">
        <f t="shared" ca="1" si="44"/>
        <v/>
      </c>
    </row>
    <row r="146" spans="1:29" x14ac:dyDescent="0.3">
      <c r="A146" s="5">
        <f t="shared" si="41"/>
        <v>136</v>
      </c>
      <c r="B146" s="45" t="str">
        <f t="shared" ca="1" si="42"/>
        <v/>
      </c>
      <c r="C146" s="46" t="str">
        <f t="shared" ca="1" si="42"/>
        <v/>
      </c>
      <c r="D146" s="46" t="str">
        <f t="shared" ca="1" si="42"/>
        <v/>
      </c>
      <c r="E146" s="45" t="str">
        <f t="shared" ca="1" si="42"/>
        <v/>
      </c>
      <c r="F146" s="46" t="str">
        <f t="shared" ca="1" si="42"/>
        <v/>
      </c>
      <c r="G146" s="46" t="str">
        <f t="shared" ca="1" si="42"/>
        <v/>
      </c>
      <c r="H146" s="46" t="str">
        <f t="shared" ca="1" si="42"/>
        <v/>
      </c>
      <c r="I146" s="46" t="str">
        <f t="shared" ca="1" si="42"/>
        <v/>
      </c>
      <c r="J146" s="47" t="str">
        <f t="shared" ca="1" si="42"/>
        <v/>
      </c>
      <c r="K146" s="47" t="str">
        <f t="shared" ca="1" si="42"/>
        <v/>
      </c>
      <c r="L146" s="47" t="str">
        <f t="shared" ca="1" si="43"/>
        <v/>
      </c>
      <c r="M146" s="47" t="str">
        <f t="shared" ca="1" si="43"/>
        <v/>
      </c>
      <c r="N146" s="47" t="str">
        <f t="shared" ca="1" si="43"/>
        <v/>
      </c>
      <c r="O146" s="47" t="str">
        <f t="shared" ca="1" si="43"/>
        <v/>
      </c>
      <c r="P146" s="47" t="str">
        <f t="shared" ca="1" si="43"/>
        <v/>
      </c>
      <c r="Q146" s="47" t="str">
        <f t="shared" ca="1" si="43"/>
        <v/>
      </c>
      <c r="R146" s="47" t="str">
        <f t="shared" ca="1" si="43"/>
        <v/>
      </c>
      <c r="S146" s="47" t="str">
        <f t="shared" ca="1" si="43"/>
        <v/>
      </c>
      <c r="T146" s="47" t="str">
        <f t="shared" ca="1" si="43"/>
        <v/>
      </c>
      <c r="U146" s="47" t="str">
        <f t="shared" ca="1" si="43"/>
        <v/>
      </c>
      <c r="V146" s="47" t="str">
        <f t="shared" ca="1" si="44"/>
        <v/>
      </c>
      <c r="W146" s="47" t="str">
        <f t="shared" ca="1" si="44"/>
        <v/>
      </c>
      <c r="X146" s="47" t="str">
        <f t="shared" ca="1" si="44"/>
        <v/>
      </c>
      <c r="Y146" s="47" t="str">
        <f t="shared" ca="1" si="44"/>
        <v/>
      </c>
      <c r="Z146" s="47" t="str">
        <f t="shared" ca="1" si="44"/>
        <v/>
      </c>
      <c r="AA146" s="47" t="str">
        <f t="shared" ca="1" si="44"/>
        <v/>
      </c>
      <c r="AB146" s="47" t="str">
        <f t="shared" ca="1" si="44"/>
        <v/>
      </c>
      <c r="AC146" s="47" t="str">
        <f t="shared" ca="1" si="44"/>
        <v/>
      </c>
    </row>
    <row r="147" spans="1:29" x14ac:dyDescent="0.3">
      <c r="A147" s="5">
        <f t="shared" si="41"/>
        <v>137</v>
      </c>
      <c r="B147" s="45" t="str">
        <f t="shared" ca="1" si="42"/>
        <v/>
      </c>
      <c r="C147" s="46" t="str">
        <f t="shared" ca="1" si="42"/>
        <v/>
      </c>
      <c r="D147" s="46" t="str">
        <f t="shared" ca="1" si="42"/>
        <v/>
      </c>
      <c r="E147" s="45" t="str">
        <f t="shared" ca="1" si="42"/>
        <v/>
      </c>
      <c r="F147" s="46" t="str">
        <f t="shared" ca="1" si="42"/>
        <v/>
      </c>
      <c r="G147" s="46" t="str">
        <f t="shared" ca="1" si="42"/>
        <v/>
      </c>
      <c r="H147" s="46" t="str">
        <f t="shared" ca="1" si="42"/>
        <v/>
      </c>
      <c r="I147" s="46" t="str">
        <f t="shared" ca="1" si="42"/>
        <v/>
      </c>
      <c r="J147" s="47" t="str">
        <f t="shared" ca="1" si="42"/>
        <v/>
      </c>
      <c r="K147" s="47" t="str">
        <f t="shared" ca="1" si="42"/>
        <v/>
      </c>
      <c r="L147" s="47" t="str">
        <f t="shared" ca="1" si="43"/>
        <v/>
      </c>
      <c r="M147" s="47" t="str">
        <f t="shared" ca="1" si="43"/>
        <v/>
      </c>
      <c r="N147" s="47" t="str">
        <f t="shared" ca="1" si="43"/>
        <v/>
      </c>
      <c r="O147" s="47" t="str">
        <f t="shared" ca="1" si="43"/>
        <v/>
      </c>
      <c r="P147" s="47" t="str">
        <f t="shared" ca="1" si="43"/>
        <v/>
      </c>
      <c r="Q147" s="47" t="str">
        <f t="shared" ca="1" si="43"/>
        <v/>
      </c>
      <c r="R147" s="47" t="str">
        <f t="shared" ca="1" si="43"/>
        <v/>
      </c>
      <c r="S147" s="47" t="str">
        <f t="shared" ca="1" si="43"/>
        <v/>
      </c>
      <c r="T147" s="47" t="str">
        <f t="shared" ca="1" si="43"/>
        <v/>
      </c>
      <c r="U147" s="47" t="str">
        <f t="shared" ca="1" si="43"/>
        <v/>
      </c>
      <c r="V147" s="47" t="str">
        <f t="shared" ca="1" si="44"/>
        <v/>
      </c>
      <c r="W147" s="47" t="str">
        <f t="shared" ca="1" si="44"/>
        <v/>
      </c>
      <c r="X147" s="47" t="str">
        <f t="shared" ca="1" si="44"/>
        <v/>
      </c>
      <c r="Y147" s="47" t="str">
        <f t="shared" ca="1" si="44"/>
        <v/>
      </c>
      <c r="Z147" s="47" t="str">
        <f t="shared" ca="1" si="44"/>
        <v/>
      </c>
      <c r="AA147" s="47" t="str">
        <f t="shared" ca="1" si="44"/>
        <v/>
      </c>
      <c r="AB147" s="47" t="str">
        <f t="shared" ca="1" si="44"/>
        <v/>
      </c>
      <c r="AC147" s="47" t="str">
        <f t="shared" ca="1" si="44"/>
        <v/>
      </c>
    </row>
    <row r="148" spans="1:29" x14ac:dyDescent="0.3">
      <c r="A148" s="5">
        <f t="shared" si="41"/>
        <v>138</v>
      </c>
      <c r="B148" s="45" t="str">
        <f t="shared" ca="1" si="42"/>
        <v/>
      </c>
      <c r="C148" s="46" t="str">
        <f t="shared" ca="1" si="42"/>
        <v/>
      </c>
      <c r="D148" s="46" t="str">
        <f t="shared" ca="1" si="42"/>
        <v/>
      </c>
      <c r="E148" s="45" t="str">
        <f t="shared" ca="1" si="42"/>
        <v/>
      </c>
      <c r="F148" s="46" t="str">
        <f t="shared" ca="1" si="42"/>
        <v/>
      </c>
      <c r="G148" s="46" t="str">
        <f t="shared" ca="1" si="42"/>
        <v/>
      </c>
      <c r="H148" s="46" t="str">
        <f t="shared" ca="1" si="42"/>
        <v/>
      </c>
      <c r="I148" s="46" t="str">
        <f t="shared" ca="1" si="42"/>
        <v/>
      </c>
      <c r="J148" s="47" t="str">
        <f t="shared" ca="1" si="42"/>
        <v/>
      </c>
      <c r="K148" s="47" t="str">
        <f t="shared" ca="1" si="42"/>
        <v/>
      </c>
      <c r="L148" s="47" t="str">
        <f t="shared" ca="1" si="43"/>
        <v/>
      </c>
      <c r="M148" s="47" t="str">
        <f t="shared" ca="1" si="43"/>
        <v/>
      </c>
      <c r="N148" s="47" t="str">
        <f t="shared" ca="1" si="43"/>
        <v/>
      </c>
      <c r="O148" s="47" t="str">
        <f t="shared" ca="1" si="43"/>
        <v/>
      </c>
      <c r="P148" s="47" t="str">
        <f t="shared" ca="1" si="43"/>
        <v/>
      </c>
      <c r="Q148" s="47" t="str">
        <f t="shared" ca="1" si="43"/>
        <v/>
      </c>
      <c r="R148" s="47" t="str">
        <f t="shared" ca="1" si="43"/>
        <v/>
      </c>
      <c r="S148" s="47" t="str">
        <f t="shared" ca="1" si="43"/>
        <v/>
      </c>
      <c r="T148" s="47" t="str">
        <f t="shared" ca="1" si="43"/>
        <v/>
      </c>
      <c r="U148" s="47" t="str">
        <f t="shared" ca="1" si="43"/>
        <v/>
      </c>
      <c r="V148" s="47" t="str">
        <f t="shared" ca="1" si="44"/>
        <v/>
      </c>
      <c r="W148" s="47" t="str">
        <f t="shared" ca="1" si="44"/>
        <v/>
      </c>
      <c r="X148" s="47" t="str">
        <f t="shared" ca="1" si="44"/>
        <v/>
      </c>
      <c r="Y148" s="47" t="str">
        <f t="shared" ca="1" si="44"/>
        <v/>
      </c>
      <c r="Z148" s="47" t="str">
        <f t="shared" ca="1" si="44"/>
        <v/>
      </c>
      <c r="AA148" s="47" t="str">
        <f t="shared" ca="1" si="44"/>
        <v/>
      </c>
      <c r="AB148" s="47" t="str">
        <f t="shared" ca="1" si="44"/>
        <v/>
      </c>
      <c r="AC148" s="47" t="str">
        <f t="shared" ca="1" si="44"/>
        <v/>
      </c>
    </row>
    <row r="149" spans="1:29" x14ac:dyDescent="0.3">
      <c r="A149" s="5">
        <f t="shared" si="41"/>
        <v>139</v>
      </c>
      <c r="B149" s="45" t="str">
        <f t="shared" ca="1" si="42"/>
        <v/>
      </c>
      <c r="C149" s="46" t="str">
        <f t="shared" ca="1" si="42"/>
        <v/>
      </c>
      <c r="D149" s="46" t="str">
        <f t="shared" ca="1" si="42"/>
        <v/>
      </c>
      <c r="E149" s="45" t="str">
        <f t="shared" ca="1" si="42"/>
        <v/>
      </c>
      <c r="F149" s="46" t="str">
        <f t="shared" ca="1" si="42"/>
        <v/>
      </c>
      <c r="G149" s="46" t="str">
        <f t="shared" ca="1" si="42"/>
        <v/>
      </c>
      <c r="H149" s="46" t="str">
        <f t="shared" ca="1" si="42"/>
        <v/>
      </c>
      <c r="I149" s="46" t="str">
        <f t="shared" ca="1" si="42"/>
        <v/>
      </c>
      <c r="J149" s="47" t="str">
        <f t="shared" ca="1" si="42"/>
        <v/>
      </c>
      <c r="K149" s="47" t="str">
        <f t="shared" ca="1" si="42"/>
        <v/>
      </c>
      <c r="L149" s="47" t="str">
        <f t="shared" ca="1" si="43"/>
        <v/>
      </c>
      <c r="M149" s="47" t="str">
        <f t="shared" ca="1" si="43"/>
        <v/>
      </c>
      <c r="N149" s="47" t="str">
        <f t="shared" ca="1" si="43"/>
        <v/>
      </c>
      <c r="O149" s="47" t="str">
        <f t="shared" ca="1" si="43"/>
        <v/>
      </c>
      <c r="P149" s="47" t="str">
        <f t="shared" ca="1" si="43"/>
        <v/>
      </c>
      <c r="Q149" s="47" t="str">
        <f t="shared" ca="1" si="43"/>
        <v/>
      </c>
      <c r="R149" s="47" t="str">
        <f t="shared" ca="1" si="43"/>
        <v/>
      </c>
      <c r="S149" s="47" t="str">
        <f t="shared" ca="1" si="43"/>
        <v/>
      </c>
      <c r="T149" s="47" t="str">
        <f t="shared" ca="1" si="43"/>
        <v/>
      </c>
      <c r="U149" s="47" t="str">
        <f t="shared" ca="1" si="43"/>
        <v/>
      </c>
      <c r="V149" s="47" t="str">
        <f t="shared" ca="1" si="44"/>
        <v/>
      </c>
      <c r="W149" s="47" t="str">
        <f t="shared" ca="1" si="44"/>
        <v/>
      </c>
      <c r="X149" s="47" t="str">
        <f t="shared" ca="1" si="44"/>
        <v/>
      </c>
      <c r="Y149" s="47" t="str">
        <f t="shared" ca="1" si="44"/>
        <v/>
      </c>
      <c r="Z149" s="47" t="str">
        <f t="shared" ca="1" si="44"/>
        <v/>
      </c>
      <c r="AA149" s="47" t="str">
        <f t="shared" ca="1" si="44"/>
        <v/>
      </c>
      <c r="AB149" s="47" t="str">
        <f t="shared" ca="1" si="44"/>
        <v/>
      </c>
      <c r="AC149" s="47" t="str">
        <f t="shared" ca="1" si="44"/>
        <v/>
      </c>
    </row>
    <row r="150" spans="1:29" x14ac:dyDescent="0.3">
      <c r="A150" s="5">
        <f t="shared" si="41"/>
        <v>140</v>
      </c>
      <c r="B150" s="45" t="str">
        <f t="shared" ca="1" si="42"/>
        <v/>
      </c>
      <c r="C150" s="46" t="str">
        <f t="shared" ca="1" si="42"/>
        <v/>
      </c>
      <c r="D150" s="46" t="str">
        <f t="shared" ca="1" si="42"/>
        <v/>
      </c>
      <c r="E150" s="45" t="str">
        <f t="shared" ca="1" si="42"/>
        <v/>
      </c>
      <c r="F150" s="46" t="str">
        <f t="shared" ca="1" si="42"/>
        <v/>
      </c>
      <c r="G150" s="46" t="str">
        <f t="shared" ca="1" si="42"/>
        <v/>
      </c>
      <c r="H150" s="46" t="str">
        <f t="shared" ca="1" si="42"/>
        <v/>
      </c>
      <c r="I150" s="46" t="str">
        <f t="shared" ca="1" si="42"/>
        <v/>
      </c>
      <c r="J150" s="47" t="str">
        <f t="shared" ca="1" si="42"/>
        <v/>
      </c>
      <c r="K150" s="47" t="str">
        <f t="shared" ca="1" si="42"/>
        <v/>
      </c>
      <c r="L150" s="47" t="str">
        <f t="shared" ca="1" si="43"/>
        <v/>
      </c>
      <c r="M150" s="47" t="str">
        <f t="shared" ca="1" si="43"/>
        <v/>
      </c>
      <c r="N150" s="47" t="str">
        <f t="shared" ca="1" si="43"/>
        <v/>
      </c>
      <c r="O150" s="47" t="str">
        <f t="shared" ca="1" si="43"/>
        <v/>
      </c>
      <c r="P150" s="47" t="str">
        <f t="shared" ca="1" si="43"/>
        <v/>
      </c>
      <c r="Q150" s="47" t="str">
        <f t="shared" ca="1" si="43"/>
        <v/>
      </c>
      <c r="R150" s="47" t="str">
        <f t="shared" ca="1" si="43"/>
        <v/>
      </c>
      <c r="S150" s="47" t="str">
        <f t="shared" ca="1" si="43"/>
        <v/>
      </c>
      <c r="T150" s="47" t="str">
        <f t="shared" ca="1" si="43"/>
        <v/>
      </c>
      <c r="U150" s="47" t="str">
        <f t="shared" ca="1" si="43"/>
        <v/>
      </c>
      <c r="V150" s="47" t="str">
        <f t="shared" ca="1" si="44"/>
        <v/>
      </c>
      <c r="W150" s="47" t="str">
        <f t="shared" ca="1" si="44"/>
        <v/>
      </c>
      <c r="X150" s="47" t="str">
        <f t="shared" ca="1" si="44"/>
        <v/>
      </c>
      <c r="Y150" s="47" t="str">
        <f t="shared" ca="1" si="44"/>
        <v/>
      </c>
      <c r="Z150" s="47" t="str">
        <f t="shared" ca="1" si="44"/>
        <v/>
      </c>
      <c r="AA150" s="47" t="str">
        <f t="shared" ca="1" si="44"/>
        <v/>
      </c>
      <c r="AB150" s="47" t="str">
        <f t="shared" ca="1" si="44"/>
        <v/>
      </c>
      <c r="AC150" s="47" t="str">
        <f t="shared" ca="1" si="44"/>
        <v/>
      </c>
    </row>
    <row r="151" spans="1:29" x14ac:dyDescent="0.3">
      <c r="A151" s="5">
        <f t="shared" si="41"/>
        <v>141</v>
      </c>
      <c r="B151" s="45" t="str">
        <f t="shared" ca="1" si="42"/>
        <v/>
      </c>
      <c r="C151" s="46" t="str">
        <f t="shared" ca="1" si="42"/>
        <v/>
      </c>
      <c r="D151" s="46" t="str">
        <f t="shared" ca="1" si="42"/>
        <v/>
      </c>
      <c r="E151" s="45" t="str">
        <f t="shared" ca="1" si="42"/>
        <v/>
      </c>
      <c r="F151" s="46" t="str">
        <f t="shared" ca="1" si="42"/>
        <v/>
      </c>
      <c r="G151" s="46" t="str">
        <f t="shared" ca="1" si="42"/>
        <v/>
      </c>
      <c r="H151" s="46" t="str">
        <f t="shared" ca="1" si="42"/>
        <v/>
      </c>
      <c r="I151" s="46" t="str">
        <f t="shared" ca="1" si="42"/>
        <v/>
      </c>
      <c r="J151" s="47" t="str">
        <f t="shared" ca="1" si="42"/>
        <v/>
      </c>
      <c r="K151" s="47" t="str">
        <f t="shared" ca="1" si="42"/>
        <v/>
      </c>
      <c r="L151" s="47" t="str">
        <f t="shared" ca="1" si="43"/>
        <v/>
      </c>
      <c r="M151" s="47" t="str">
        <f t="shared" ca="1" si="43"/>
        <v/>
      </c>
      <c r="N151" s="47" t="str">
        <f t="shared" ca="1" si="43"/>
        <v/>
      </c>
      <c r="O151" s="47" t="str">
        <f t="shared" ca="1" si="43"/>
        <v/>
      </c>
      <c r="P151" s="47" t="str">
        <f t="shared" ca="1" si="43"/>
        <v/>
      </c>
      <c r="Q151" s="47" t="str">
        <f t="shared" ca="1" si="43"/>
        <v/>
      </c>
      <c r="R151" s="47" t="str">
        <f t="shared" ca="1" si="43"/>
        <v/>
      </c>
      <c r="S151" s="47" t="str">
        <f t="shared" ca="1" si="43"/>
        <v/>
      </c>
      <c r="T151" s="47" t="str">
        <f t="shared" ca="1" si="43"/>
        <v/>
      </c>
      <c r="U151" s="47" t="str">
        <f t="shared" ca="1" si="43"/>
        <v/>
      </c>
      <c r="V151" s="47" t="str">
        <f t="shared" ca="1" si="44"/>
        <v/>
      </c>
      <c r="W151" s="47" t="str">
        <f t="shared" ca="1" si="44"/>
        <v/>
      </c>
      <c r="X151" s="47" t="str">
        <f t="shared" ca="1" si="44"/>
        <v/>
      </c>
      <c r="Y151" s="47" t="str">
        <f t="shared" ca="1" si="44"/>
        <v/>
      </c>
      <c r="Z151" s="47" t="str">
        <f t="shared" ca="1" si="44"/>
        <v/>
      </c>
      <c r="AA151" s="47" t="str">
        <f t="shared" ca="1" si="44"/>
        <v/>
      </c>
      <c r="AB151" s="47" t="str">
        <f t="shared" ca="1" si="44"/>
        <v/>
      </c>
      <c r="AC151" s="47" t="str">
        <f t="shared" ca="1" si="44"/>
        <v/>
      </c>
    </row>
    <row r="152" spans="1:29" x14ac:dyDescent="0.3">
      <c r="A152" s="5">
        <f t="shared" si="41"/>
        <v>142</v>
      </c>
      <c r="B152" s="45" t="str">
        <f t="shared" ref="B152:K164" ca="1" si="45">IFERROR(IF(INDIRECT("raw!R"&amp;$A152&amp;"C"&amp;B$10,FALSE)&lt;&gt;"",INDIRECT("raw!R"&amp;$A152&amp;"C"&amp;B$10,FALSE),""),"")</f>
        <v/>
      </c>
      <c r="C152" s="46" t="str">
        <f t="shared" ca="1" si="45"/>
        <v/>
      </c>
      <c r="D152" s="46" t="str">
        <f t="shared" ca="1" si="45"/>
        <v/>
      </c>
      <c r="E152" s="45" t="str">
        <f t="shared" ca="1" si="45"/>
        <v/>
      </c>
      <c r="F152" s="46" t="str">
        <f t="shared" ca="1" si="45"/>
        <v/>
      </c>
      <c r="G152" s="46" t="str">
        <f t="shared" ca="1" si="45"/>
        <v/>
      </c>
      <c r="H152" s="46" t="str">
        <f t="shared" ca="1" si="45"/>
        <v/>
      </c>
      <c r="I152" s="46" t="str">
        <f t="shared" ca="1" si="45"/>
        <v/>
      </c>
      <c r="J152" s="47" t="str">
        <f t="shared" ca="1" si="45"/>
        <v/>
      </c>
      <c r="K152" s="47" t="str">
        <f t="shared" ca="1" si="45"/>
        <v/>
      </c>
      <c r="L152" s="47" t="str">
        <f t="shared" ref="L152:U164" ca="1" si="46">IFERROR(IF(INDIRECT("raw!R"&amp;$A152&amp;"C"&amp;L$10,FALSE)&lt;&gt;"",INDIRECT("raw!R"&amp;$A152&amp;"C"&amp;L$10,FALSE),""),"")</f>
        <v/>
      </c>
      <c r="M152" s="47" t="str">
        <f t="shared" ca="1" si="46"/>
        <v/>
      </c>
      <c r="N152" s="47" t="str">
        <f t="shared" ca="1" si="46"/>
        <v/>
      </c>
      <c r="O152" s="47" t="str">
        <f t="shared" ca="1" si="46"/>
        <v/>
      </c>
      <c r="P152" s="47" t="str">
        <f t="shared" ca="1" si="46"/>
        <v/>
      </c>
      <c r="Q152" s="47" t="str">
        <f t="shared" ca="1" si="46"/>
        <v/>
      </c>
      <c r="R152" s="47" t="str">
        <f t="shared" ca="1" si="46"/>
        <v/>
      </c>
      <c r="S152" s="47" t="str">
        <f t="shared" ca="1" si="46"/>
        <v/>
      </c>
      <c r="T152" s="47" t="str">
        <f t="shared" ca="1" si="46"/>
        <v/>
      </c>
      <c r="U152" s="47" t="str">
        <f t="shared" ca="1" si="46"/>
        <v/>
      </c>
      <c r="V152" s="47" t="str">
        <f t="shared" ref="V152:AC164" ca="1" si="47">IFERROR(IF(INDIRECT("raw!R"&amp;$A152&amp;"C"&amp;V$10,FALSE)&lt;&gt;"",INDIRECT("raw!R"&amp;$A152&amp;"C"&amp;V$10,FALSE),""),"")</f>
        <v/>
      </c>
      <c r="W152" s="47" t="str">
        <f t="shared" ca="1" si="47"/>
        <v/>
      </c>
      <c r="X152" s="47" t="str">
        <f t="shared" ca="1" si="47"/>
        <v/>
      </c>
      <c r="Y152" s="47" t="str">
        <f t="shared" ca="1" si="47"/>
        <v/>
      </c>
      <c r="Z152" s="47" t="str">
        <f t="shared" ca="1" si="47"/>
        <v/>
      </c>
      <c r="AA152" s="47" t="str">
        <f t="shared" ca="1" si="47"/>
        <v/>
      </c>
      <c r="AB152" s="47" t="str">
        <f t="shared" ca="1" si="47"/>
        <v/>
      </c>
      <c r="AC152" s="47" t="str">
        <f t="shared" ca="1" si="47"/>
        <v/>
      </c>
    </row>
    <row r="153" spans="1:29" x14ac:dyDescent="0.3">
      <c r="A153" s="5">
        <f t="shared" si="41"/>
        <v>143</v>
      </c>
      <c r="B153" s="45" t="str">
        <f t="shared" ca="1" si="45"/>
        <v/>
      </c>
      <c r="C153" s="46" t="str">
        <f t="shared" ca="1" si="45"/>
        <v/>
      </c>
      <c r="D153" s="46" t="str">
        <f t="shared" ca="1" si="45"/>
        <v/>
      </c>
      <c r="E153" s="45" t="str">
        <f t="shared" ca="1" si="45"/>
        <v/>
      </c>
      <c r="F153" s="46" t="str">
        <f t="shared" ca="1" si="45"/>
        <v/>
      </c>
      <c r="G153" s="46" t="str">
        <f t="shared" ca="1" si="45"/>
        <v/>
      </c>
      <c r="H153" s="46" t="str">
        <f t="shared" ca="1" si="45"/>
        <v/>
      </c>
      <c r="I153" s="46" t="str">
        <f t="shared" ca="1" si="45"/>
        <v/>
      </c>
      <c r="J153" s="47" t="str">
        <f t="shared" ca="1" si="45"/>
        <v/>
      </c>
      <c r="K153" s="47" t="str">
        <f t="shared" ca="1" si="45"/>
        <v/>
      </c>
      <c r="L153" s="47" t="str">
        <f t="shared" ca="1" si="46"/>
        <v/>
      </c>
      <c r="M153" s="47" t="str">
        <f t="shared" ca="1" si="46"/>
        <v/>
      </c>
      <c r="N153" s="47" t="str">
        <f t="shared" ca="1" si="46"/>
        <v/>
      </c>
      <c r="O153" s="47" t="str">
        <f t="shared" ca="1" si="46"/>
        <v/>
      </c>
      <c r="P153" s="47" t="str">
        <f t="shared" ca="1" si="46"/>
        <v/>
      </c>
      <c r="Q153" s="47" t="str">
        <f t="shared" ca="1" si="46"/>
        <v/>
      </c>
      <c r="R153" s="47" t="str">
        <f t="shared" ca="1" si="46"/>
        <v/>
      </c>
      <c r="S153" s="47" t="str">
        <f t="shared" ca="1" si="46"/>
        <v/>
      </c>
      <c r="T153" s="47" t="str">
        <f t="shared" ca="1" si="46"/>
        <v/>
      </c>
      <c r="U153" s="47" t="str">
        <f t="shared" ca="1" si="46"/>
        <v/>
      </c>
      <c r="V153" s="47" t="str">
        <f t="shared" ca="1" si="47"/>
        <v/>
      </c>
      <c r="W153" s="47" t="str">
        <f t="shared" ca="1" si="47"/>
        <v/>
      </c>
      <c r="X153" s="47" t="str">
        <f t="shared" ca="1" si="47"/>
        <v/>
      </c>
      <c r="Y153" s="47" t="str">
        <f t="shared" ca="1" si="47"/>
        <v/>
      </c>
      <c r="Z153" s="47" t="str">
        <f t="shared" ca="1" si="47"/>
        <v/>
      </c>
      <c r="AA153" s="47" t="str">
        <f t="shared" ca="1" si="47"/>
        <v/>
      </c>
      <c r="AB153" s="47" t="str">
        <f t="shared" ca="1" si="47"/>
        <v/>
      </c>
      <c r="AC153" s="47" t="str">
        <f t="shared" ca="1" si="47"/>
        <v/>
      </c>
    </row>
    <row r="154" spans="1:29" x14ac:dyDescent="0.3">
      <c r="A154" s="5">
        <f t="shared" si="41"/>
        <v>144</v>
      </c>
      <c r="B154" s="45" t="str">
        <f t="shared" ca="1" si="45"/>
        <v/>
      </c>
      <c r="C154" s="46" t="str">
        <f t="shared" ca="1" si="45"/>
        <v/>
      </c>
      <c r="D154" s="46" t="str">
        <f t="shared" ca="1" si="45"/>
        <v/>
      </c>
      <c r="E154" s="45" t="str">
        <f t="shared" ca="1" si="45"/>
        <v/>
      </c>
      <c r="F154" s="46" t="str">
        <f t="shared" ca="1" si="45"/>
        <v/>
      </c>
      <c r="G154" s="46" t="str">
        <f t="shared" ca="1" si="45"/>
        <v/>
      </c>
      <c r="H154" s="46" t="str">
        <f t="shared" ca="1" si="45"/>
        <v/>
      </c>
      <c r="I154" s="46" t="str">
        <f t="shared" ca="1" si="45"/>
        <v/>
      </c>
      <c r="J154" s="47" t="str">
        <f t="shared" ca="1" si="45"/>
        <v/>
      </c>
      <c r="K154" s="47" t="str">
        <f t="shared" ca="1" si="45"/>
        <v/>
      </c>
      <c r="L154" s="47" t="str">
        <f t="shared" ca="1" si="46"/>
        <v/>
      </c>
      <c r="M154" s="47" t="str">
        <f t="shared" ca="1" si="46"/>
        <v/>
      </c>
      <c r="N154" s="47" t="str">
        <f t="shared" ca="1" si="46"/>
        <v/>
      </c>
      <c r="O154" s="47" t="str">
        <f t="shared" ca="1" si="46"/>
        <v/>
      </c>
      <c r="P154" s="47" t="str">
        <f t="shared" ca="1" si="46"/>
        <v/>
      </c>
      <c r="Q154" s="47" t="str">
        <f t="shared" ca="1" si="46"/>
        <v/>
      </c>
      <c r="R154" s="47" t="str">
        <f t="shared" ca="1" si="46"/>
        <v/>
      </c>
      <c r="S154" s="47" t="str">
        <f t="shared" ca="1" si="46"/>
        <v/>
      </c>
      <c r="T154" s="47" t="str">
        <f t="shared" ca="1" si="46"/>
        <v/>
      </c>
      <c r="U154" s="47" t="str">
        <f t="shared" ca="1" si="46"/>
        <v/>
      </c>
      <c r="V154" s="47" t="str">
        <f t="shared" ca="1" si="47"/>
        <v/>
      </c>
      <c r="W154" s="47" t="str">
        <f t="shared" ca="1" si="47"/>
        <v/>
      </c>
      <c r="X154" s="47" t="str">
        <f t="shared" ca="1" si="47"/>
        <v/>
      </c>
      <c r="Y154" s="47" t="str">
        <f t="shared" ca="1" si="47"/>
        <v/>
      </c>
      <c r="Z154" s="47" t="str">
        <f t="shared" ca="1" si="47"/>
        <v/>
      </c>
      <c r="AA154" s="47" t="str">
        <f t="shared" ca="1" si="47"/>
        <v/>
      </c>
      <c r="AB154" s="47" t="str">
        <f t="shared" ca="1" si="47"/>
        <v/>
      </c>
      <c r="AC154" s="47" t="str">
        <f t="shared" ca="1" si="47"/>
        <v/>
      </c>
    </row>
    <row r="155" spans="1:29" x14ac:dyDescent="0.3">
      <c r="A155" s="5">
        <f t="shared" si="41"/>
        <v>145</v>
      </c>
      <c r="B155" s="45" t="str">
        <f t="shared" ca="1" si="45"/>
        <v/>
      </c>
      <c r="C155" s="46" t="str">
        <f t="shared" ca="1" si="45"/>
        <v/>
      </c>
      <c r="D155" s="46" t="str">
        <f t="shared" ca="1" si="45"/>
        <v/>
      </c>
      <c r="E155" s="45" t="str">
        <f t="shared" ca="1" si="45"/>
        <v/>
      </c>
      <c r="F155" s="46" t="str">
        <f t="shared" ca="1" si="45"/>
        <v/>
      </c>
      <c r="G155" s="46" t="str">
        <f t="shared" ca="1" si="45"/>
        <v/>
      </c>
      <c r="H155" s="46" t="str">
        <f t="shared" ca="1" si="45"/>
        <v/>
      </c>
      <c r="I155" s="46" t="str">
        <f t="shared" ca="1" si="45"/>
        <v/>
      </c>
      <c r="J155" s="47" t="str">
        <f t="shared" ca="1" si="45"/>
        <v/>
      </c>
      <c r="K155" s="47" t="str">
        <f t="shared" ca="1" si="45"/>
        <v/>
      </c>
      <c r="L155" s="47" t="str">
        <f t="shared" ca="1" si="46"/>
        <v/>
      </c>
      <c r="M155" s="47" t="str">
        <f t="shared" ca="1" si="46"/>
        <v/>
      </c>
      <c r="N155" s="47" t="str">
        <f t="shared" ca="1" si="46"/>
        <v/>
      </c>
      <c r="O155" s="47" t="str">
        <f t="shared" ca="1" si="46"/>
        <v/>
      </c>
      <c r="P155" s="47" t="str">
        <f t="shared" ca="1" si="46"/>
        <v/>
      </c>
      <c r="Q155" s="47" t="str">
        <f t="shared" ca="1" si="46"/>
        <v/>
      </c>
      <c r="R155" s="47" t="str">
        <f t="shared" ca="1" si="46"/>
        <v/>
      </c>
      <c r="S155" s="47" t="str">
        <f t="shared" ca="1" si="46"/>
        <v/>
      </c>
      <c r="T155" s="47" t="str">
        <f t="shared" ca="1" si="46"/>
        <v/>
      </c>
      <c r="U155" s="47" t="str">
        <f t="shared" ca="1" si="46"/>
        <v/>
      </c>
      <c r="V155" s="47" t="str">
        <f t="shared" ca="1" si="47"/>
        <v/>
      </c>
      <c r="W155" s="47" t="str">
        <f t="shared" ca="1" si="47"/>
        <v/>
      </c>
      <c r="X155" s="47" t="str">
        <f t="shared" ca="1" si="47"/>
        <v/>
      </c>
      <c r="Y155" s="47" t="str">
        <f t="shared" ca="1" si="47"/>
        <v/>
      </c>
      <c r="Z155" s="47" t="str">
        <f t="shared" ca="1" si="47"/>
        <v/>
      </c>
      <c r="AA155" s="47" t="str">
        <f t="shared" ca="1" si="47"/>
        <v/>
      </c>
      <c r="AB155" s="47" t="str">
        <f t="shared" ca="1" si="47"/>
        <v/>
      </c>
      <c r="AC155" s="47" t="str">
        <f t="shared" ca="1" si="47"/>
        <v/>
      </c>
    </row>
    <row r="156" spans="1:29" x14ac:dyDescent="0.3">
      <c r="A156" s="5">
        <f t="shared" si="41"/>
        <v>146</v>
      </c>
      <c r="B156" s="45" t="str">
        <f t="shared" ca="1" si="45"/>
        <v/>
      </c>
      <c r="C156" s="46" t="str">
        <f t="shared" ca="1" si="45"/>
        <v/>
      </c>
      <c r="D156" s="46" t="str">
        <f t="shared" ca="1" si="45"/>
        <v/>
      </c>
      <c r="E156" s="45" t="str">
        <f t="shared" ca="1" si="45"/>
        <v/>
      </c>
      <c r="F156" s="46" t="str">
        <f t="shared" ca="1" si="45"/>
        <v/>
      </c>
      <c r="G156" s="46" t="str">
        <f t="shared" ca="1" si="45"/>
        <v/>
      </c>
      <c r="H156" s="46" t="str">
        <f t="shared" ca="1" si="45"/>
        <v/>
      </c>
      <c r="I156" s="46" t="str">
        <f t="shared" ca="1" si="45"/>
        <v/>
      </c>
      <c r="J156" s="47" t="str">
        <f t="shared" ca="1" si="45"/>
        <v/>
      </c>
      <c r="K156" s="47" t="str">
        <f t="shared" ca="1" si="45"/>
        <v/>
      </c>
      <c r="L156" s="47" t="str">
        <f t="shared" ca="1" si="46"/>
        <v/>
      </c>
      <c r="M156" s="47" t="str">
        <f t="shared" ca="1" si="46"/>
        <v/>
      </c>
      <c r="N156" s="47" t="str">
        <f t="shared" ca="1" si="46"/>
        <v/>
      </c>
      <c r="O156" s="47" t="str">
        <f t="shared" ca="1" si="46"/>
        <v/>
      </c>
      <c r="P156" s="47" t="str">
        <f t="shared" ca="1" si="46"/>
        <v/>
      </c>
      <c r="Q156" s="47" t="str">
        <f t="shared" ca="1" si="46"/>
        <v/>
      </c>
      <c r="R156" s="47" t="str">
        <f t="shared" ca="1" si="46"/>
        <v/>
      </c>
      <c r="S156" s="47" t="str">
        <f t="shared" ca="1" si="46"/>
        <v/>
      </c>
      <c r="T156" s="47" t="str">
        <f t="shared" ca="1" si="46"/>
        <v/>
      </c>
      <c r="U156" s="47" t="str">
        <f t="shared" ca="1" si="46"/>
        <v/>
      </c>
      <c r="V156" s="47" t="str">
        <f t="shared" ca="1" si="47"/>
        <v/>
      </c>
      <c r="W156" s="47" t="str">
        <f t="shared" ca="1" si="47"/>
        <v/>
      </c>
      <c r="X156" s="47" t="str">
        <f t="shared" ca="1" si="47"/>
        <v/>
      </c>
      <c r="Y156" s="47" t="str">
        <f t="shared" ca="1" si="47"/>
        <v/>
      </c>
      <c r="Z156" s="47" t="str">
        <f t="shared" ca="1" si="47"/>
        <v/>
      </c>
      <c r="AA156" s="47" t="str">
        <f t="shared" ca="1" si="47"/>
        <v/>
      </c>
      <c r="AB156" s="47" t="str">
        <f t="shared" ca="1" si="47"/>
        <v/>
      </c>
      <c r="AC156" s="47" t="str">
        <f t="shared" ca="1" si="47"/>
        <v/>
      </c>
    </row>
    <row r="157" spans="1:29" x14ac:dyDescent="0.3">
      <c r="A157" s="5">
        <f t="shared" si="41"/>
        <v>147</v>
      </c>
      <c r="B157" s="45" t="str">
        <f t="shared" ca="1" si="45"/>
        <v/>
      </c>
      <c r="C157" s="46" t="str">
        <f t="shared" ca="1" si="45"/>
        <v/>
      </c>
      <c r="D157" s="46" t="str">
        <f t="shared" ca="1" si="45"/>
        <v/>
      </c>
      <c r="E157" s="45" t="str">
        <f t="shared" ca="1" si="45"/>
        <v/>
      </c>
      <c r="F157" s="46" t="str">
        <f t="shared" ca="1" si="45"/>
        <v/>
      </c>
      <c r="G157" s="46" t="str">
        <f t="shared" ca="1" si="45"/>
        <v/>
      </c>
      <c r="H157" s="46" t="str">
        <f t="shared" ca="1" si="45"/>
        <v/>
      </c>
      <c r="I157" s="46" t="str">
        <f t="shared" ca="1" si="45"/>
        <v/>
      </c>
      <c r="J157" s="47" t="str">
        <f t="shared" ca="1" si="45"/>
        <v/>
      </c>
      <c r="K157" s="47" t="str">
        <f t="shared" ca="1" si="45"/>
        <v/>
      </c>
      <c r="L157" s="47" t="str">
        <f t="shared" ca="1" si="46"/>
        <v/>
      </c>
      <c r="M157" s="47" t="str">
        <f t="shared" ca="1" si="46"/>
        <v/>
      </c>
      <c r="N157" s="47" t="str">
        <f t="shared" ca="1" si="46"/>
        <v/>
      </c>
      <c r="O157" s="47" t="str">
        <f t="shared" ca="1" si="46"/>
        <v/>
      </c>
      <c r="P157" s="47" t="str">
        <f t="shared" ca="1" si="46"/>
        <v/>
      </c>
      <c r="Q157" s="47" t="str">
        <f t="shared" ca="1" si="46"/>
        <v/>
      </c>
      <c r="R157" s="47" t="str">
        <f t="shared" ca="1" si="46"/>
        <v/>
      </c>
      <c r="S157" s="47" t="str">
        <f t="shared" ca="1" si="46"/>
        <v/>
      </c>
      <c r="T157" s="47" t="str">
        <f t="shared" ca="1" si="46"/>
        <v/>
      </c>
      <c r="U157" s="47" t="str">
        <f t="shared" ca="1" si="46"/>
        <v/>
      </c>
      <c r="V157" s="47" t="str">
        <f t="shared" ca="1" si="47"/>
        <v/>
      </c>
      <c r="W157" s="47" t="str">
        <f t="shared" ca="1" si="47"/>
        <v/>
      </c>
      <c r="X157" s="47" t="str">
        <f t="shared" ca="1" si="47"/>
        <v/>
      </c>
      <c r="Y157" s="47" t="str">
        <f t="shared" ca="1" si="47"/>
        <v/>
      </c>
      <c r="Z157" s="47" t="str">
        <f t="shared" ca="1" si="47"/>
        <v/>
      </c>
      <c r="AA157" s="47" t="str">
        <f t="shared" ca="1" si="47"/>
        <v/>
      </c>
      <c r="AB157" s="47" t="str">
        <f t="shared" ca="1" si="47"/>
        <v/>
      </c>
      <c r="AC157" s="47" t="str">
        <f t="shared" ca="1" si="47"/>
        <v/>
      </c>
    </row>
    <row r="158" spans="1:29" x14ac:dyDescent="0.3">
      <c r="A158" s="5">
        <f t="shared" si="41"/>
        <v>148</v>
      </c>
      <c r="B158" s="45" t="str">
        <f t="shared" ca="1" si="45"/>
        <v/>
      </c>
      <c r="C158" s="46" t="str">
        <f t="shared" ca="1" si="45"/>
        <v/>
      </c>
      <c r="D158" s="46" t="str">
        <f t="shared" ca="1" si="45"/>
        <v/>
      </c>
      <c r="E158" s="45" t="str">
        <f t="shared" ca="1" si="45"/>
        <v/>
      </c>
      <c r="F158" s="46" t="str">
        <f t="shared" ca="1" si="45"/>
        <v/>
      </c>
      <c r="G158" s="46" t="str">
        <f t="shared" ca="1" si="45"/>
        <v/>
      </c>
      <c r="H158" s="46" t="str">
        <f t="shared" ca="1" si="45"/>
        <v/>
      </c>
      <c r="I158" s="46" t="str">
        <f t="shared" ca="1" si="45"/>
        <v/>
      </c>
      <c r="J158" s="47" t="str">
        <f t="shared" ca="1" si="45"/>
        <v/>
      </c>
      <c r="K158" s="47" t="str">
        <f t="shared" ca="1" si="45"/>
        <v/>
      </c>
      <c r="L158" s="47" t="str">
        <f t="shared" ca="1" si="46"/>
        <v/>
      </c>
      <c r="M158" s="47" t="str">
        <f t="shared" ca="1" si="46"/>
        <v/>
      </c>
      <c r="N158" s="47" t="str">
        <f t="shared" ca="1" si="46"/>
        <v/>
      </c>
      <c r="O158" s="47" t="str">
        <f t="shared" ca="1" si="46"/>
        <v/>
      </c>
      <c r="P158" s="47" t="str">
        <f t="shared" ca="1" si="46"/>
        <v/>
      </c>
      <c r="Q158" s="47" t="str">
        <f t="shared" ca="1" si="46"/>
        <v/>
      </c>
      <c r="R158" s="47" t="str">
        <f t="shared" ca="1" si="46"/>
        <v/>
      </c>
      <c r="S158" s="47" t="str">
        <f t="shared" ca="1" si="46"/>
        <v/>
      </c>
      <c r="T158" s="47" t="str">
        <f t="shared" ca="1" si="46"/>
        <v/>
      </c>
      <c r="U158" s="47" t="str">
        <f t="shared" ca="1" si="46"/>
        <v/>
      </c>
      <c r="V158" s="47" t="str">
        <f t="shared" ca="1" si="47"/>
        <v/>
      </c>
      <c r="W158" s="47" t="str">
        <f t="shared" ca="1" si="47"/>
        <v/>
      </c>
      <c r="X158" s="47" t="str">
        <f t="shared" ca="1" si="47"/>
        <v/>
      </c>
      <c r="Y158" s="47" t="str">
        <f t="shared" ca="1" si="47"/>
        <v/>
      </c>
      <c r="Z158" s="47" t="str">
        <f t="shared" ca="1" si="47"/>
        <v/>
      </c>
      <c r="AA158" s="47" t="str">
        <f t="shared" ca="1" si="47"/>
        <v/>
      </c>
      <c r="AB158" s="47" t="str">
        <f t="shared" ca="1" si="47"/>
        <v/>
      </c>
      <c r="AC158" s="47" t="str">
        <f t="shared" ca="1" si="47"/>
        <v/>
      </c>
    </row>
    <row r="159" spans="1:29" x14ac:dyDescent="0.3">
      <c r="A159" s="5">
        <f t="shared" si="41"/>
        <v>149</v>
      </c>
      <c r="B159" s="45" t="str">
        <f t="shared" ca="1" si="45"/>
        <v/>
      </c>
      <c r="C159" s="46" t="str">
        <f t="shared" ca="1" si="45"/>
        <v/>
      </c>
      <c r="D159" s="46" t="str">
        <f t="shared" ca="1" si="45"/>
        <v/>
      </c>
      <c r="E159" s="45" t="str">
        <f t="shared" ca="1" si="45"/>
        <v/>
      </c>
      <c r="F159" s="46" t="str">
        <f t="shared" ca="1" si="45"/>
        <v/>
      </c>
      <c r="G159" s="46" t="str">
        <f t="shared" ca="1" si="45"/>
        <v/>
      </c>
      <c r="H159" s="46" t="str">
        <f t="shared" ca="1" si="45"/>
        <v/>
      </c>
      <c r="I159" s="46" t="str">
        <f t="shared" ca="1" si="45"/>
        <v/>
      </c>
      <c r="J159" s="47" t="str">
        <f t="shared" ca="1" si="45"/>
        <v/>
      </c>
      <c r="K159" s="47" t="str">
        <f t="shared" ca="1" si="45"/>
        <v/>
      </c>
      <c r="L159" s="47" t="str">
        <f t="shared" ca="1" si="46"/>
        <v/>
      </c>
      <c r="M159" s="47" t="str">
        <f t="shared" ca="1" si="46"/>
        <v/>
      </c>
      <c r="N159" s="47" t="str">
        <f t="shared" ca="1" si="46"/>
        <v/>
      </c>
      <c r="O159" s="47" t="str">
        <f t="shared" ca="1" si="46"/>
        <v/>
      </c>
      <c r="P159" s="47" t="str">
        <f t="shared" ca="1" si="46"/>
        <v/>
      </c>
      <c r="Q159" s="47" t="str">
        <f t="shared" ca="1" si="46"/>
        <v/>
      </c>
      <c r="R159" s="47" t="str">
        <f t="shared" ca="1" si="46"/>
        <v/>
      </c>
      <c r="S159" s="47" t="str">
        <f t="shared" ca="1" si="46"/>
        <v/>
      </c>
      <c r="T159" s="47" t="str">
        <f t="shared" ca="1" si="46"/>
        <v/>
      </c>
      <c r="U159" s="47" t="str">
        <f t="shared" ca="1" si="46"/>
        <v/>
      </c>
      <c r="V159" s="47" t="str">
        <f t="shared" ca="1" si="47"/>
        <v/>
      </c>
      <c r="W159" s="47" t="str">
        <f t="shared" ca="1" si="47"/>
        <v/>
      </c>
      <c r="X159" s="47" t="str">
        <f t="shared" ca="1" si="47"/>
        <v/>
      </c>
      <c r="Y159" s="47" t="str">
        <f t="shared" ca="1" si="47"/>
        <v/>
      </c>
      <c r="Z159" s="47" t="str">
        <f t="shared" ca="1" si="47"/>
        <v/>
      </c>
      <c r="AA159" s="47" t="str">
        <f t="shared" ca="1" si="47"/>
        <v/>
      </c>
      <c r="AB159" s="47" t="str">
        <f t="shared" ca="1" si="47"/>
        <v/>
      </c>
      <c r="AC159" s="47" t="str">
        <f t="shared" ca="1" si="47"/>
        <v/>
      </c>
    </row>
    <row r="160" spans="1:29" x14ac:dyDescent="0.3">
      <c r="A160" s="5">
        <f t="shared" si="41"/>
        <v>150</v>
      </c>
      <c r="B160" s="45" t="str">
        <f t="shared" ca="1" si="45"/>
        <v/>
      </c>
      <c r="C160" s="46" t="str">
        <f t="shared" ca="1" si="45"/>
        <v/>
      </c>
      <c r="D160" s="46" t="str">
        <f t="shared" ca="1" si="45"/>
        <v/>
      </c>
      <c r="E160" s="45" t="str">
        <f t="shared" ca="1" si="45"/>
        <v/>
      </c>
      <c r="F160" s="46" t="str">
        <f t="shared" ca="1" si="45"/>
        <v/>
      </c>
      <c r="G160" s="46" t="str">
        <f t="shared" ca="1" si="45"/>
        <v/>
      </c>
      <c r="H160" s="46" t="str">
        <f t="shared" ca="1" si="45"/>
        <v/>
      </c>
      <c r="I160" s="46" t="str">
        <f t="shared" ca="1" si="45"/>
        <v/>
      </c>
      <c r="J160" s="47" t="str">
        <f t="shared" ca="1" si="45"/>
        <v/>
      </c>
      <c r="K160" s="47" t="str">
        <f t="shared" ca="1" si="45"/>
        <v/>
      </c>
      <c r="L160" s="47" t="str">
        <f t="shared" ca="1" si="46"/>
        <v/>
      </c>
      <c r="M160" s="47" t="str">
        <f t="shared" ca="1" si="46"/>
        <v/>
      </c>
      <c r="N160" s="47" t="str">
        <f t="shared" ca="1" si="46"/>
        <v/>
      </c>
      <c r="O160" s="47" t="str">
        <f t="shared" ca="1" si="46"/>
        <v/>
      </c>
      <c r="P160" s="47" t="str">
        <f t="shared" ca="1" si="46"/>
        <v/>
      </c>
      <c r="Q160" s="47" t="str">
        <f t="shared" ca="1" si="46"/>
        <v/>
      </c>
      <c r="R160" s="47" t="str">
        <f t="shared" ca="1" si="46"/>
        <v/>
      </c>
      <c r="S160" s="47" t="str">
        <f t="shared" ca="1" si="46"/>
        <v/>
      </c>
      <c r="T160" s="47" t="str">
        <f t="shared" ca="1" si="46"/>
        <v/>
      </c>
      <c r="U160" s="47" t="str">
        <f t="shared" ca="1" si="46"/>
        <v/>
      </c>
      <c r="V160" s="47" t="str">
        <f t="shared" ca="1" si="47"/>
        <v/>
      </c>
      <c r="W160" s="47" t="str">
        <f t="shared" ca="1" si="47"/>
        <v/>
      </c>
      <c r="X160" s="47" t="str">
        <f t="shared" ca="1" si="47"/>
        <v/>
      </c>
      <c r="Y160" s="47" t="str">
        <f t="shared" ca="1" si="47"/>
        <v/>
      </c>
      <c r="Z160" s="47" t="str">
        <f t="shared" ca="1" si="47"/>
        <v/>
      </c>
      <c r="AA160" s="47" t="str">
        <f t="shared" ca="1" si="47"/>
        <v/>
      </c>
      <c r="AB160" s="47" t="str">
        <f t="shared" ca="1" si="47"/>
        <v/>
      </c>
      <c r="AC160" s="47" t="str">
        <f t="shared" ca="1" si="47"/>
        <v/>
      </c>
    </row>
    <row r="161" spans="1:29" x14ac:dyDescent="0.3">
      <c r="A161" s="5">
        <f t="shared" si="41"/>
        <v>151</v>
      </c>
      <c r="B161" s="45" t="str">
        <f t="shared" ca="1" si="45"/>
        <v/>
      </c>
      <c r="C161" s="46" t="str">
        <f t="shared" ca="1" si="45"/>
        <v/>
      </c>
      <c r="D161" s="46" t="str">
        <f t="shared" ca="1" si="45"/>
        <v/>
      </c>
      <c r="E161" s="45" t="str">
        <f t="shared" ca="1" si="45"/>
        <v/>
      </c>
      <c r="F161" s="46" t="str">
        <f t="shared" ca="1" si="45"/>
        <v/>
      </c>
      <c r="G161" s="46" t="str">
        <f t="shared" ca="1" si="45"/>
        <v/>
      </c>
      <c r="H161" s="46" t="str">
        <f t="shared" ca="1" si="45"/>
        <v/>
      </c>
      <c r="I161" s="46" t="str">
        <f t="shared" ca="1" si="45"/>
        <v/>
      </c>
      <c r="J161" s="47" t="str">
        <f t="shared" ca="1" si="45"/>
        <v/>
      </c>
      <c r="K161" s="47" t="str">
        <f t="shared" ca="1" si="45"/>
        <v/>
      </c>
      <c r="L161" s="47" t="str">
        <f t="shared" ca="1" si="46"/>
        <v/>
      </c>
      <c r="M161" s="47" t="str">
        <f t="shared" ca="1" si="46"/>
        <v/>
      </c>
      <c r="N161" s="47" t="str">
        <f t="shared" ca="1" si="46"/>
        <v/>
      </c>
      <c r="O161" s="47" t="str">
        <f t="shared" ca="1" si="46"/>
        <v/>
      </c>
      <c r="P161" s="47" t="str">
        <f t="shared" ca="1" si="46"/>
        <v/>
      </c>
      <c r="Q161" s="47" t="str">
        <f t="shared" ca="1" si="46"/>
        <v/>
      </c>
      <c r="R161" s="47" t="str">
        <f t="shared" ca="1" si="46"/>
        <v/>
      </c>
      <c r="S161" s="47" t="str">
        <f t="shared" ca="1" si="46"/>
        <v/>
      </c>
      <c r="T161" s="47" t="str">
        <f t="shared" ca="1" si="46"/>
        <v/>
      </c>
      <c r="U161" s="47" t="str">
        <f t="shared" ca="1" si="46"/>
        <v/>
      </c>
      <c r="V161" s="47" t="str">
        <f t="shared" ca="1" si="47"/>
        <v/>
      </c>
      <c r="W161" s="47" t="str">
        <f t="shared" ca="1" si="47"/>
        <v/>
      </c>
      <c r="X161" s="47" t="str">
        <f t="shared" ca="1" si="47"/>
        <v/>
      </c>
      <c r="Y161" s="47" t="str">
        <f t="shared" ca="1" si="47"/>
        <v/>
      </c>
      <c r="Z161" s="47" t="str">
        <f t="shared" ca="1" si="47"/>
        <v/>
      </c>
      <c r="AA161" s="47" t="str">
        <f t="shared" ca="1" si="47"/>
        <v/>
      </c>
      <c r="AB161" s="47" t="str">
        <f t="shared" ca="1" si="47"/>
        <v/>
      </c>
      <c r="AC161" s="47" t="str">
        <f t="shared" ca="1" si="47"/>
        <v/>
      </c>
    </row>
    <row r="162" spans="1:29" x14ac:dyDescent="0.3">
      <c r="A162" s="5">
        <f t="shared" si="41"/>
        <v>152</v>
      </c>
      <c r="B162" s="45" t="str">
        <f t="shared" ca="1" si="45"/>
        <v/>
      </c>
      <c r="C162" s="46" t="str">
        <f t="shared" ca="1" si="45"/>
        <v/>
      </c>
      <c r="D162" s="46" t="str">
        <f t="shared" ca="1" si="45"/>
        <v/>
      </c>
      <c r="E162" s="45" t="str">
        <f t="shared" ca="1" si="45"/>
        <v/>
      </c>
      <c r="F162" s="46" t="str">
        <f t="shared" ca="1" si="45"/>
        <v/>
      </c>
      <c r="G162" s="46" t="str">
        <f t="shared" ca="1" si="45"/>
        <v/>
      </c>
      <c r="H162" s="46" t="str">
        <f t="shared" ca="1" si="45"/>
        <v/>
      </c>
      <c r="I162" s="46" t="str">
        <f t="shared" ca="1" si="45"/>
        <v/>
      </c>
      <c r="J162" s="47" t="str">
        <f t="shared" ca="1" si="45"/>
        <v/>
      </c>
      <c r="K162" s="47" t="str">
        <f t="shared" ca="1" si="45"/>
        <v/>
      </c>
      <c r="L162" s="47" t="str">
        <f t="shared" ca="1" si="46"/>
        <v/>
      </c>
      <c r="M162" s="47" t="str">
        <f t="shared" ca="1" si="46"/>
        <v/>
      </c>
      <c r="N162" s="47" t="str">
        <f t="shared" ca="1" si="46"/>
        <v/>
      </c>
      <c r="O162" s="47" t="str">
        <f t="shared" ca="1" si="46"/>
        <v/>
      </c>
      <c r="P162" s="47" t="str">
        <f t="shared" ca="1" si="46"/>
        <v/>
      </c>
      <c r="Q162" s="47" t="str">
        <f t="shared" ca="1" si="46"/>
        <v/>
      </c>
      <c r="R162" s="47" t="str">
        <f t="shared" ca="1" si="46"/>
        <v/>
      </c>
      <c r="S162" s="47" t="str">
        <f t="shared" ca="1" si="46"/>
        <v/>
      </c>
      <c r="T162" s="47" t="str">
        <f t="shared" ca="1" si="46"/>
        <v/>
      </c>
      <c r="U162" s="47" t="str">
        <f t="shared" ca="1" si="46"/>
        <v/>
      </c>
      <c r="V162" s="47" t="str">
        <f t="shared" ca="1" si="47"/>
        <v/>
      </c>
      <c r="W162" s="47" t="str">
        <f t="shared" ca="1" si="47"/>
        <v/>
      </c>
      <c r="X162" s="47" t="str">
        <f t="shared" ca="1" si="47"/>
        <v/>
      </c>
      <c r="Y162" s="47" t="str">
        <f t="shared" ca="1" si="47"/>
        <v/>
      </c>
      <c r="Z162" s="47" t="str">
        <f t="shared" ca="1" si="47"/>
        <v/>
      </c>
      <c r="AA162" s="47" t="str">
        <f t="shared" ca="1" si="47"/>
        <v/>
      </c>
      <c r="AB162" s="47" t="str">
        <f t="shared" ca="1" si="47"/>
        <v/>
      </c>
      <c r="AC162" s="47" t="str">
        <f t="shared" ca="1" si="47"/>
        <v/>
      </c>
    </row>
    <row r="163" spans="1:29" x14ac:dyDescent="0.3">
      <c r="A163" s="5">
        <f t="shared" si="41"/>
        <v>153</v>
      </c>
      <c r="B163" s="45" t="str">
        <f t="shared" ca="1" si="45"/>
        <v/>
      </c>
      <c r="C163" s="46" t="str">
        <f t="shared" ca="1" si="45"/>
        <v/>
      </c>
      <c r="D163" s="46" t="str">
        <f t="shared" ca="1" si="45"/>
        <v/>
      </c>
      <c r="E163" s="45" t="str">
        <f t="shared" ca="1" si="45"/>
        <v/>
      </c>
      <c r="F163" s="46" t="str">
        <f t="shared" ca="1" si="45"/>
        <v/>
      </c>
      <c r="G163" s="46" t="str">
        <f t="shared" ca="1" si="45"/>
        <v/>
      </c>
      <c r="H163" s="46" t="str">
        <f t="shared" ca="1" si="45"/>
        <v/>
      </c>
      <c r="I163" s="46" t="str">
        <f t="shared" ca="1" si="45"/>
        <v/>
      </c>
      <c r="J163" s="47" t="str">
        <f t="shared" ca="1" si="45"/>
        <v/>
      </c>
      <c r="K163" s="47" t="str">
        <f t="shared" ca="1" si="45"/>
        <v/>
      </c>
      <c r="L163" s="47" t="str">
        <f t="shared" ca="1" si="46"/>
        <v/>
      </c>
      <c r="M163" s="47" t="str">
        <f t="shared" ca="1" si="46"/>
        <v/>
      </c>
      <c r="N163" s="47" t="str">
        <f t="shared" ca="1" si="46"/>
        <v/>
      </c>
      <c r="O163" s="47" t="str">
        <f t="shared" ca="1" si="46"/>
        <v/>
      </c>
      <c r="P163" s="47" t="str">
        <f t="shared" ca="1" si="46"/>
        <v/>
      </c>
      <c r="Q163" s="47" t="str">
        <f t="shared" ca="1" si="46"/>
        <v/>
      </c>
      <c r="R163" s="47" t="str">
        <f t="shared" ca="1" si="46"/>
        <v/>
      </c>
      <c r="S163" s="47" t="str">
        <f t="shared" ca="1" si="46"/>
        <v/>
      </c>
      <c r="T163" s="47" t="str">
        <f t="shared" ca="1" si="46"/>
        <v/>
      </c>
      <c r="U163" s="47" t="str">
        <f t="shared" ca="1" si="46"/>
        <v/>
      </c>
      <c r="V163" s="47" t="str">
        <f t="shared" ca="1" si="47"/>
        <v/>
      </c>
      <c r="W163" s="47" t="str">
        <f t="shared" ca="1" si="47"/>
        <v/>
      </c>
      <c r="X163" s="47" t="str">
        <f t="shared" ca="1" si="47"/>
        <v/>
      </c>
      <c r="Y163" s="47" t="str">
        <f t="shared" ca="1" si="47"/>
        <v/>
      </c>
      <c r="Z163" s="47" t="str">
        <f t="shared" ca="1" si="47"/>
        <v/>
      </c>
      <c r="AA163" s="47" t="str">
        <f t="shared" ca="1" si="47"/>
        <v/>
      </c>
      <c r="AB163" s="47" t="str">
        <f t="shared" ca="1" si="47"/>
        <v/>
      </c>
      <c r="AC163" s="47" t="str">
        <f t="shared" ca="1" si="47"/>
        <v/>
      </c>
    </row>
    <row r="164" spans="1:29" x14ac:dyDescent="0.3">
      <c r="A164" s="5">
        <f t="shared" si="41"/>
        <v>154</v>
      </c>
      <c r="B164" s="48" t="str">
        <f t="shared" ca="1" si="45"/>
        <v/>
      </c>
      <c r="C164" s="49" t="str">
        <f t="shared" ca="1" si="45"/>
        <v/>
      </c>
      <c r="D164" s="49" t="str">
        <f t="shared" ca="1" si="45"/>
        <v/>
      </c>
      <c r="E164" s="48" t="str">
        <f t="shared" ca="1" si="45"/>
        <v/>
      </c>
      <c r="F164" s="49" t="str">
        <f t="shared" ca="1" si="45"/>
        <v/>
      </c>
      <c r="G164" s="49" t="str">
        <f t="shared" ca="1" si="45"/>
        <v/>
      </c>
      <c r="H164" s="49" t="str">
        <f t="shared" ca="1" si="45"/>
        <v/>
      </c>
      <c r="I164" s="49" t="str">
        <f t="shared" ca="1" si="45"/>
        <v/>
      </c>
      <c r="J164" s="50" t="str">
        <f t="shared" ca="1" si="45"/>
        <v/>
      </c>
      <c r="K164" s="50" t="str">
        <f t="shared" ca="1" si="45"/>
        <v/>
      </c>
      <c r="L164" s="50" t="str">
        <f t="shared" ca="1" si="46"/>
        <v/>
      </c>
      <c r="M164" s="50" t="str">
        <f t="shared" ca="1" si="46"/>
        <v/>
      </c>
      <c r="N164" s="50" t="str">
        <f t="shared" ca="1" si="46"/>
        <v/>
      </c>
      <c r="O164" s="50" t="str">
        <f t="shared" ca="1" si="46"/>
        <v/>
      </c>
      <c r="P164" s="50" t="str">
        <f t="shared" ca="1" si="46"/>
        <v/>
      </c>
      <c r="Q164" s="50" t="str">
        <f t="shared" ca="1" si="46"/>
        <v/>
      </c>
      <c r="R164" s="50" t="str">
        <f t="shared" ca="1" si="46"/>
        <v/>
      </c>
      <c r="S164" s="50" t="str">
        <f t="shared" ca="1" si="46"/>
        <v/>
      </c>
      <c r="T164" s="50" t="str">
        <f t="shared" ca="1" si="46"/>
        <v/>
      </c>
      <c r="U164" s="50" t="str">
        <f t="shared" ca="1" si="46"/>
        <v/>
      </c>
      <c r="V164" s="50" t="str">
        <f t="shared" ca="1" si="47"/>
        <v/>
      </c>
      <c r="W164" s="50" t="str">
        <f t="shared" ca="1" si="47"/>
        <v/>
      </c>
      <c r="X164" s="50" t="str">
        <f t="shared" ca="1" si="47"/>
        <v/>
      </c>
      <c r="Y164" s="50" t="str">
        <f t="shared" ca="1" si="47"/>
        <v/>
      </c>
      <c r="Z164" s="50" t="str">
        <f t="shared" ca="1" si="47"/>
        <v/>
      </c>
      <c r="AA164" s="50" t="str">
        <f t="shared" ca="1" si="47"/>
        <v/>
      </c>
      <c r="AB164" s="50" t="str">
        <f t="shared" ca="1" si="47"/>
        <v/>
      </c>
      <c r="AC164" s="50" t="str">
        <f t="shared" ca="1" si="47"/>
        <v/>
      </c>
    </row>
    <row r="165" spans="1:29" x14ac:dyDescent="0.3">
      <c r="A165" s="5">
        <f t="shared" si="41"/>
        <v>155</v>
      </c>
    </row>
    <row r="166" spans="1:29" x14ac:dyDescent="0.3">
      <c r="A166" s="5">
        <f t="shared" si="41"/>
        <v>156</v>
      </c>
    </row>
    <row r="167" spans="1:29" x14ac:dyDescent="0.3">
      <c r="A167" s="5">
        <f t="shared" si="41"/>
        <v>157</v>
      </c>
    </row>
    <row r="168" spans="1:29" x14ac:dyDescent="0.3">
      <c r="A168" s="5">
        <f t="shared" si="41"/>
        <v>158</v>
      </c>
    </row>
    <row r="169" spans="1:29" x14ac:dyDescent="0.3">
      <c r="A169" s="5">
        <f t="shared" si="41"/>
        <v>159</v>
      </c>
    </row>
    <row r="170" spans="1:29" x14ac:dyDescent="0.3">
      <c r="A170" s="5">
        <f t="shared" si="41"/>
        <v>160</v>
      </c>
    </row>
    <row r="171" spans="1:29" x14ac:dyDescent="0.3">
      <c r="A171" s="5">
        <f t="shared" si="41"/>
        <v>161</v>
      </c>
    </row>
    <row r="172" spans="1:29" x14ac:dyDescent="0.3">
      <c r="A172" s="5">
        <f t="shared" si="41"/>
        <v>162</v>
      </c>
    </row>
    <row r="173" spans="1:29" x14ac:dyDescent="0.3">
      <c r="A173" s="5">
        <f t="shared" si="41"/>
        <v>163</v>
      </c>
    </row>
    <row r="174" spans="1:29" x14ac:dyDescent="0.3">
      <c r="A174" s="5">
        <f t="shared" si="41"/>
        <v>164</v>
      </c>
    </row>
    <row r="175" spans="1:29" x14ac:dyDescent="0.3">
      <c r="A175" s="5">
        <f t="shared" si="41"/>
        <v>165</v>
      </c>
    </row>
    <row r="176" spans="1:29" x14ac:dyDescent="0.3">
      <c r="A176" s="5">
        <f t="shared" si="41"/>
        <v>166</v>
      </c>
    </row>
    <row r="177" spans="1:1" x14ac:dyDescent="0.3">
      <c r="A177" s="5">
        <f t="shared" si="41"/>
        <v>167</v>
      </c>
    </row>
    <row r="178" spans="1:1" x14ac:dyDescent="0.3">
      <c r="A178" s="5">
        <f t="shared" si="41"/>
        <v>168</v>
      </c>
    </row>
    <row r="179" spans="1:1" x14ac:dyDescent="0.3">
      <c r="A179" s="5">
        <f t="shared" si="41"/>
        <v>169</v>
      </c>
    </row>
    <row r="180" spans="1:1" x14ac:dyDescent="0.3">
      <c r="A180" s="5">
        <f t="shared" si="41"/>
        <v>170</v>
      </c>
    </row>
    <row r="181" spans="1:1" x14ac:dyDescent="0.3">
      <c r="A181" s="5">
        <f t="shared" si="41"/>
        <v>171</v>
      </c>
    </row>
    <row r="182" spans="1:1" x14ac:dyDescent="0.3">
      <c r="A182" s="5">
        <f t="shared" si="41"/>
        <v>172</v>
      </c>
    </row>
    <row r="183" spans="1:1" x14ac:dyDescent="0.3">
      <c r="A183" s="5">
        <f t="shared" si="41"/>
        <v>173</v>
      </c>
    </row>
    <row r="184" spans="1:1" x14ac:dyDescent="0.3">
      <c r="A184" s="5">
        <f t="shared" si="41"/>
        <v>174</v>
      </c>
    </row>
    <row r="185" spans="1:1" x14ac:dyDescent="0.3">
      <c r="A185" s="5">
        <f t="shared" si="41"/>
        <v>175</v>
      </c>
    </row>
    <row r="186" spans="1:1" x14ac:dyDescent="0.3">
      <c r="A186" s="5">
        <f t="shared" si="41"/>
        <v>176</v>
      </c>
    </row>
    <row r="187" spans="1:1" x14ac:dyDescent="0.3">
      <c r="A187" s="5">
        <f t="shared" si="41"/>
        <v>177</v>
      </c>
    </row>
    <row r="188" spans="1:1" x14ac:dyDescent="0.3">
      <c r="A188" s="5">
        <f t="shared" si="41"/>
        <v>178</v>
      </c>
    </row>
    <row r="189" spans="1:1" x14ac:dyDescent="0.3">
      <c r="A189" s="5">
        <f t="shared" si="41"/>
        <v>179</v>
      </c>
    </row>
    <row r="190" spans="1:1" x14ac:dyDescent="0.3">
      <c r="A190" s="5">
        <f t="shared" si="41"/>
        <v>180</v>
      </c>
    </row>
    <row r="191" spans="1:1" x14ac:dyDescent="0.3">
      <c r="A191" s="5">
        <f t="shared" si="41"/>
        <v>181</v>
      </c>
    </row>
    <row r="192" spans="1:1" x14ac:dyDescent="0.3">
      <c r="A192" s="5">
        <f t="shared" si="41"/>
        <v>182</v>
      </c>
    </row>
    <row r="193" spans="1:1" x14ac:dyDescent="0.3">
      <c r="A193" s="5">
        <f t="shared" si="41"/>
        <v>183</v>
      </c>
    </row>
    <row r="194" spans="1:1" x14ac:dyDescent="0.3">
      <c r="A194" s="5">
        <f t="shared" si="41"/>
        <v>184</v>
      </c>
    </row>
    <row r="195" spans="1:1" x14ac:dyDescent="0.3">
      <c r="A195" s="5">
        <f t="shared" si="41"/>
        <v>185</v>
      </c>
    </row>
    <row r="196" spans="1:1" x14ac:dyDescent="0.3">
      <c r="A196" s="5">
        <f t="shared" si="41"/>
        <v>186</v>
      </c>
    </row>
    <row r="197" spans="1:1" x14ac:dyDescent="0.3">
      <c r="A197" s="5">
        <f t="shared" si="41"/>
        <v>187</v>
      </c>
    </row>
    <row r="198" spans="1:1" x14ac:dyDescent="0.3">
      <c r="A198" s="5">
        <f t="shared" si="41"/>
        <v>188</v>
      </c>
    </row>
    <row r="199" spans="1:1" x14ac:dyDescent="0.3">
      <c r="A199" s="5">
        <f t="shared" si="41"/>
        <v>189</v>
      </c>
    </row>
    <row r="200" spans="1:1" x14ac:dyDescent="0.3">
      <c r="A200" s="5">
        <f t="shared" si="41"/>
        <v>190</v>
      </c>
    </row>
    <row r="201" spans="1:1" x14ac:dyDescent="0.3">
      <c r="A201" s="5">
        <f t="shared" si="41"/>
        <v>191</v>
      </c>
    </row>
    <row r="202" spans="1:1" x14ac:dyDescent="0.3">
      <c r="A202" s="5">
        <f t="shared" si="41"/>
        <v>192</v>
      </c>
    </row>
    <row r="203" spans="1:1" x14ac:dyDescent="0.3">
      <c r="A203" s="5">
        <f t="shared" si="41"/>
        <v>193</v>
      </c>
    </row>
    <row r="204" spans="1:1" x14ac:dyDescent="0.3">
      <c r="A204" s="5">
        <f t="shared" si="41"/>
        <v>194</v>
      </c>
    </row>
    <row r="205" spans="1:1" x14ac:dyDescent="0.3">
      <c r="A205" s="5">
        <f t="shared" ref="A205:A268" si="48">A204+1</f>
        <v>195</v>
      </c>
    </row>
    <row r="206" spans="1:1" x14ac:dyDescent="0.3">
      <c r="A206" s="5">
        <f t="shared" si="48"/>
        <v>196</v>
      </c>
    </row>
    <row r="207" spans="1:1" x14ac:dyDescent="0.3">
      <c r="A207" s="5">
        <f t="shared" si="48"/>
        <v>197</v>
      </c>
    </row>
    <row r="208" spans="1:1" x14ac:dyDescent="0.3">
      <c r="A208" s="5">
        <f t="shared" si="48"/>
        <v>198</v>
      </c>
    </row>
    <row r="209" spans="1:1" x14ac:dyDescent="0.3">
      <c r="A209" s="5">
        <f t="shared" si="48"/>
        <v>199</v>
      </c>
    </row>
    <row r="210" spans="1:1" x14ac:dyDescent="0.3">
      <c r="A210" s="5">
        <f t="shared" si="48"/>
        <v>200</v>
      </c>
    </row>
    <row r="211" spans="1:1" x14ac:dyDescent="0.3">
      <c r="A211" s="5">
        <f t="shared" si="48"/>
        <v>201</v>
      </c>
    </row>
    <row r="212" spans="1:1" x14ac:dyDescent="0.3">
      <c r="A212" s="5">
        <f t="shared" si="48"/>
        <v>202</v>
      </c>
    </row>
    <row r="213" spans="1:1" x14ac:dyDescent="0.3">
      <c r="A213" s="5">
        <f t="shared" si="48"/>
        <v>203</v>
      </c>
    </row>
    <row r="214" spans="1:1" x14ac:dyDescent="0.3">
      <c r="A214" s="5">
        <f t="shared" si="48"/>
        <v>204</v>
      </c>
    </row>
    <row r="215" spans="1:1" x14ac:dyDescent="0.3">
      <c r="A215" s="5">
        <f t="shared" si="48"/>
        <v>205</v>
      </c>
    </row>
    <row r="216" spans="1:1" x14ac:dyDescent="0.3">
      <c r="A216" s="5">
        <f t="shared" si="48"/>
        <v>206</v>
      </c>
    </row>
    <row r="217" spans="1:1" x14ac:dyDescent="0.3">
      <c r="A217" s="5">
        <f t="shared" si="48"/>
        <v>207</v>
      </c>
    </row>
    <row r="218" spans="1:1" x14ac:dyDescent="0.3">
      <c r="A218" s="5">
        <f t="shared" si="48"/>
        <v>208</v>
      </c>
    </row>
    <row r="219" spans="1:1" x14ac:dyDescent="0.3">
      <c r="A219" s="5">
        <f t="shared" si="48"/>
        <v>209</v>
      </c>
    </row>
    <row r="220" spans="1:1" x14ac:dyDescent="0.3">
      <c r="A220" s="5">
        <f t="shared" si="48"/>
        <v>210</v>
      </c>
    </row>
    <row r="221" spans="1:1" x14ac:dyDescent="0.3">
      <c r="A221" s="5">
        <f t="shared" si="48"/>
        <v>211</v>
      </c>
    </row>
    <row r="222" spans="1:1" x14ac:dyDescent="0.3">
      <c r="A222" s="5">
        <f t="shared" si="48"/>
        <v>212</v>
      </c>
    </row>
    <row r="223" spans="1:1" x14ac:dyDescent="0.3">
      <c r="A223" s="5">
        <f t="shared" si="48"/>
        <v>213</v>
      </c>
    </row>
    <row r="224" spans="1:1" x14ac:dyDescent="0.3">
      <c r="A224" s="5">
        <f t="shared" si="48"/>
        <v>214</v>
      </c>
    </row>
    <row r="225" spans="1:1" x14ac:dyDescent="0.3">
      <c r="A225" s="5">
        <f t="shared" si="48"/>
        <v>215</v>
      </c>
    </row>
    <row r="226" spans="1:1" x14ac:dyDescent="0.3">
      <c r="A226" s="5">
        <f t="shared" si="48"/>
        <v>216</v>
      </c>
    </row>
    <row r="227" spans="1:1" x14ac:dyDescent="0.3">
      <c r="A227" s="5">
        <f t="shared" si="48"/>
        <v>217</v>
      </c>
    </row>
    <row r="228" spans="1:1" x14ac:dyDescent="0.3">
      <c r="A228" s="5">
        <f t="shared" si="48"/>
        <v>218</v>
      </c>
    </row>
    <row r="229" spans="1:1" x14ac:dyDescent="0.3">
      <c r="A229" s="5">
        <f t="shared" si="48"/>
        <v>219</v>
      </c>
    </row>
    <row r="230" spans="1:1" x14ac:dyDescent="0.3">
      <c r="A230" s="5">
        <f t="shared" si="48"/>
        <v>220</v>
      </c>
    </row>
    <row r="231" spans="1:1" x14ac:dyDescent="0.3">
      <c r="A231" s="5">
        <f t="shared" si="48"/>
        <v>221</v>
      </c>
    </row>
    <row r="232" spans="1:1" x14ac:dyDescent="0.3">
      <c r="A232" s="5">
        <f t="shared" si="48"/>
        <v>222</v>
      </c>
    </row>
    <row r="233" spans="1:1" x14ac:dyDescent="0.3">
      <c r="A233" s="5">
        <f t="shared" si="48"/>
        <v>223</v>
      </c>
    </row>
    <row r="234" spans="1:1" x14ac:dyDescent="0.3">
      <c r="A234" s="5">
        <f t="shared" si="48"/>
        <v>224</v>
      </c>
    </row>
    <row r="235" spans="1:1" x14ac:dyDescent="0.3">
      <c r="A235" s="5">
        <f t="shared" si="48"/>
        <v>225</v>
      </c>
    </row>
    <row r="236" spans="1:1" x14ac:dyDescent="0.3">
      <c r="A236" s="5">
        <f t="shared" si="48"/>
        <v>226</v>
      </c>
    </row>
    <row r="237" spans="1:1" x14ac:dyDescent="0.3">
      <c r="A237" s="5">
        <f t="shared" si="48"/>
        <v>227</v>
      </c>
    </row>
    <row r="238" spans="1:1" x14ac:dyDescent="0.3">
      <c r="A238" s="5">
        <f t="shared" si="48"/>
        <v>228</v>
      </c>
    </row>
    <row r="239" spans="1:1" x14ac:dyDescent="0.3">
      <c r="A239" s="5">
        <f t="shared" si="48"/>
        <v>229</v>
      </c>
    </row>
    <row r="240" spans="1:1" x14ac:dyDescent="0.3">
      <c r="A240" s="5">
        <f t="shared" si="48"/>
        <v>230</v>
      </c>
    </row>
    <row r="241" spans="1:1" x14ac:dyDescent="0.3">
      <c r="A241" s="5">
        <f t="shared" si="48"/>
        <v>231</v>
      </c>
    </row>
    <row r="242" spans="1:1" x14ac:dyDescent="0.3">
      <c r="A242" s="5">
        <f t="shared" si="48"/>
        <v>232</v>
      </c>
    </row>
    <row r="243" spans="1:1" x14ac:dyDescent="0.3">
      <c r="A243" s="5">
        <f t="shared" si="48"/>
        <v>233</v>
      </c>
    </row>
    <row r="244" spans="1:1" x14ac:dyDescent="0.3">
      <c r="A244" s="5">
        <f t="shared" si="48"/>
        <v>234</v>
      </c>
    </row>
    <row r="245" spans="1:1" x14ac:dyDescent="0.3">
      <c r="A245" s="5">
        <f t="shared" si="48"/>
        <v>235</v>
      </c>
    </row>
    <row r="246" spans="1:1" x14ac:dyDescent="0.3">
      <c r="A246" s="5">
        <f t="shared" si="48"/>
        <v>236</v>
      </c>
    </row>
    <row r="247" spans="1:1" x14ac:dyDescent="0.3">
      <c r="A247" s="5">
        <f t="shared" si="48"/>
        <v>237</v>
      </c>
    </row>
    <row r="248" spans="1:1" x14ac:dyDescent="0.3">
      <c r="A248" s="5">
        <f t="shared" si="48"/>
        <v>238</v>
      </c>
    </row>
    <row r="249" spans="1:1" x14ac:dyDescent="0.3">
      <c r="A249" s="5">
        <f t="shared" si="48"/>
        <v>239</v>
      </c>
    </row>
    <row r="250" spans="1:1" x14ac:dyDescent="0.3">
      <c r="A250" s="5">
        <f t="shared" si="48"/>
        <v>240</v>
      </c>
    </row>
    <row r="251" spans="1:1" x14ac:dyDescent="0.3">
      <c r="A251" s="5">
        <f t="shared" si="48"/>
        <v>241</v>
      </c>
    </row>
    <row r="252" spans="1:1" x14ac:dyDescent="0.3">
      <c r="A252" s="5">
        <f t="shared" si="48"/>
        <v>242</v>
      </c>
    </row>
    <row r="253" spans="1:1" x14ac:dyDescent="0.3">
      <c r="A253" s="5">
        <f t="shared" si="48"/>
        <v>243</v>
      </c>
    </row>
    <row r="254" spans="1:1" x14ac:dyDescent="0.3">
      <c r="A254" s="5">
        <f t="shared" si="48"/>
        <v>244</v>
      </c>
    </row>
    <row r="255" spans="1:1" x14ac:dyDescent="0.3">
      <c r="A255" s="5">
        <f t="shared" si="48"/>
        <v>245</v>
      </c>
    </row>
    <row r="256" spans="1:1" x14ac:dyDescent="0.3">
      <c r="A256" s="5">
        <f t="shared" si="48"/>
        <v>246</v>
      </c>
    </row>
    <row r="257" spans="1:1" x14ac:dyDescent="0.3">
      <c r="A257" s="5">
        <f t="shared" si="48"/>
        <v>247</v>
      </c>
    </row>
    <row r="258" spans="1:1" x14ac:dyDescent="0.3">
      <c r="A258" s="5">
        <f t="shared" si="48"/>
        <v>248</v>
      </c>
    </row>
    <row r="259" spans="1:1" x14ac:dyDescent="0.3">
      <c r="A259" s="5">
        <f t="shared" si="48"/>
        <v>249</v>
      </c>
    </row>
    <row r="260" spans="1:1" x14ac:dyDescent="0.3">
      <c r="A260" s="5">
        <f t="shared" si="48"/>
        <v>250</v>
      </c>
    </row>
    <row r="261" spans="1:1" x14ac:dyDescent="0.3">
      <c r="A261" s="5">
        <f t="shared" si="48"/>
        <v>251</v>
      </c>
    </row>
    <row r="262" spans="1:1" x14ac:dyDescent="0.3">
      <c r="A262" s="5">
        <f t="shared" si="48"/>
        <v>252</v>
      </c>
    </row>
    <row r="263" spans="1:1" x14ac:dyDescent="0.3">
      <c r="A263" s="5">
        <f t="shared" si="48"/>
        <v>253</v>
      </c>
    </row>
    <row r="264" spans="1:1" x14ac:dyDescent="0.3">
      <c r="A264" s="5">
        <f t="shared" si="48"/>
        <v>254</v>
      </c>
    </row>
    <row r="265" spans="1:1" x14ac:dyDescent="0.3">
      <c r="A265" s="5">
        <f t="shared" si="48"/>
        <v>255</v>
      </c>
    </row>
    <row r="266" spans="1:1" x14ac:dyDescent="0.3">
      <c r="A266" s="5">
        <f t="shared" si="48"/>
        <v>256</v>
      </c>
    </row>
    <row r="267" spans="1:1" x14ac:dyDescent="0.3">
      <c r="A267" s="5">
        <f t="shared" si="48"/>
        <v>257</v>
      </c>
    </row>
    <row r="268" spans="1:1" x14ac:dyDescent="0.3">
      <c r="A268" s="5">
        <f t="shared" si="48"/>
        <v>258</v>
      </c>
    </row>
    <row r="269" spans="1:1" x14ac:dyDescent="0.3">
      <c r="A269" s="5">
        <f t="shared" ref="A269:A332" si="49">A268+1</f>
        <v>259</v>
      </c>
    </row>
    <row r="270" spans="1:1" x14ac:dyDescent="0.3">
      <c r="A270" s="5">
        <f t="shared" si="49"/>
        <v>260</v>
      </c>
    </row>
    <row r="271" spans="1:1" x14ac:dyDescent="0.3">
      <c r="A271" s="5">
        <f t="shared" si="49"/>
        <v>261</v>
      </c>
    </row>
    <row r="272" spans="1:1" x14ac:dyDescent="0.3">
      <c r="A272" s="5">
        <f t="shared" si="49"/>
        <v>262</v>
      </c>
    </row>
    <row r="273" spans="1:1" x14ac:dyDescent="0.3">
      <c r="A273" s="5">
        <f t="shared" si="49"/>
        <v>263</v>
      </c>
    </row>
    <row r="274" spans="1:1" x14ac:dyDescent="0.3">
      <c r="A274" s="5">
        <f t="shared" si="49"/>
        <v>264</v>
      </c>
    </row>
    <row r="275" spans="1:1" x14ac:dyDescent="0.3">
      <c r="A275" s="5">
        <f t="shared" si="49"/>
        <v>265</v>
      </c>
    </row>
    <row r="276" spans="1:1" x14ac:dyDescent="0.3">
      <c r="A276" s="5">
        <f t="shared" si="49"/>
        <v>266</v>
      </c>
    </row>
    <row r="277" spans="1:1" x14ac:dyDescent="0.3">
      <c r="A277" s="5">
        <f t="shared" si="49"/>
        <v>267</v>
      </c>
    </row>
    <row r="278" spans="1:1" x14ac:dyDescent="0.3">
      <c r="A278" s="5">
        <f t="shared" si="49"/>
        <v>268</v>
      </c>
    </row>
    <row r="279" spans="1:1" x14ac:dyDescent="0.3">
      <c r="A279" s="5">
        <f t="shared" si="49"/>
        <v>269</v>
      </c>
    </row>
    <row r="280" spans="1:1" x14ac:dyDescent="0.3">
      <c r="A280" s="5">
        <f t="shared" si="49"/>
        <v>270</v>
      </c>
    </row>
    <row r="281" spans="1:1" x14ac:dyDescent="0.3">
      <c r="A281" s="5">
        <f t="shared" si="49"/>
        <v>271</v>
      </c>
    </row>
    <row r="282" spans="1:1" x14ac:dyDescent="0.3">
      <c r="A282" s="5">
        <f t="shared" si="49"/>
        <v>272</v>
      </c>
    </row>
    <row r="283" spans="1:1" x14ac:dyDescent="0.3">
      <c r="A283" s="5">
        <f t="shared" si="49"/>
        <v>273</v>
      </c>
    </row>
    <row r="284" spans="1:1" x14ac:dyDescent="0.3">
      <c r="A284" s="5">
        <f t="shared" si="49"/>
        <v>274</v>
      </c>
    </row>
    <row r="285" spans="1:1" x14ac:dyDescent="0.3">
      <c r="A285" s="5">
        <f t="shared" si="49"/>
        <v>275</v>
      </c>
    </row>
    <row r="286" spans="1:1" x14ac:dyDescent="0.3">
      <c r="A286" s="5">
        <f t="shared" si="49"/>
        <v>276</v>
      </c>
    </row>
    <row r="287" spans="1:1" x14ac:dyDescent="0.3">
      <c r="A287" s="5">
        <f t="shared" si="49"/>
        <v>277</v>
      </c>
    </row>
    <row r="288" spans="1:1" x14ac:dyDescent="0.3">
      <c r="A288" s="5">
        <f t="shared" si="49"/>
        <v>278</v>
      </c>
    </row>
    <row r="289" spans="1:1" x14ac:dyDescent="0.3">
      <c r="A289" s="5">
        <f t="shared" si="49"/>
        <v>279</v>
      </c>
    </row>
    <row r="290" spans="1:1" x14ac:dyDescent="0.3">
      <c r="A290" s="5">
        <f t="shared" si="49"/>
        <v>280</v>
      </c>
    </row>
    <row r="291" spans="1:1" x14ac:dyDescent="0.3">
      <c r="A291" s="5">
        <f t="shared" si="49"/>
        <v>281</v>
      </c>
    </row>
    <row r="292" spans="1:1" x14ac:dyDescent="0.3">
      <c r="A292" s="5">
        <f t="shared" si="49"/>
        <v>282</v>
      </c>
    </row>
    <row r="293" spans="1:1" x14ac:dyDescent="0.3">
      <c r="A293" s="5">
        <f t="shared" si="49"/>
        <v>283</v>
      </c>
    </row>
    <row r="294" spans="1:1" x14ac:dyDescent="0.3">
      <c r="A294" s="5">
        <f t="shared" si="49"/>
        <v>284</v>
      </c>
    </row>
    <row r="295" spans="1:1" x14ac:dyDescent="0.3">
      <c r="A295" s="5">
        <f t="shared" si="49"/>
        <v>285</v>
      </c>
    </row>
    <row r="296" spans="1:1" x14ac:dyDescent="0.3">
      <c r="A296" s="5">
        <f t="shared" si="49"/>
        <v>286</v>
      </c>
    </row>
    <row r="297" spans="1:1" x14ac:dyDescent="0.3">
      <c r="A297" s="5">
        <f t="shared" si="49"/>
        <v>287</v>
      </c>
    </row>
    <row r="298" spans="1:1" x14ac:dyDescent="0.3">
      <c r="A298" s="5">
        <f t="shared" si="49"/>
        <v>288</v>
      </c>
    </row>
    <row r="299" spans="1:1" x14ac:dyDescent="0.3">
      <c r="A299" s="5">
        <f t="shared" si="49"/>
        <v>289</v>
      </c>
    </row>
    <row r="300" spans="1:1" x14ac:dyDescent="0.3">
      <c r="A300" s="5">
        <f t="shared" si="49"/>
        <v>290</v>
      </c>
    </row>
    <row r="301" spans="1:1" x14ac:dyDescent="0.3">
      <c r="A301" s="5">
        <f t="shared" si="49"/>
        <v>291</v>
      </c>
    </row>
    <row r="302" spans="1:1" x14ac:dyDescent="0.3">
      <c r="A302" s="5">
        <f t="shared" si="49"/>
        <v>292</v>
      </c>
    </row>
    <row r="303" spans="1:1" x14ac:dyDescent="0.3">
      <c r="A303" s="5">
        <f t="shared" si="49"/>
        <v>293</v>
      </c>
    </row>
    <row r="304" spans="1:1" x14ac:dyDescent="0.3">
      <c r="A304" s="5">
        <f t="shared" si="49"/>
        <v>294</v>
      </c>
    </row>
    <row r="305" spans="1:1" x14ac:dyDescent="0.3">
      <c r="A305" s="5">
        <f t="shared" si="49"/>
        <v>295</v>
      </c>
    </row>
    <row r="306" spans="1:1" x14ac:dyDescent="0.3">
      <c r="A306" s="5">
        <f t="shared" si="49"/>
        <v>296</v>
      </c>
    </row>
    <row r="307" spans="1:1" x14ac:dyDescent="0.3">
      <c r="A307" s="5">
        <f t="shared" si="49"/>
        <v>297</v>
      </c>
    </row>
    <row r="308" spans="1:1" x14ac:dyDescent="0.3">
      <c r="A308" s="5">
        <f t="shared" si="49"/>
        <v>298</v>
      </c>
    </row>
    <row r="309" spans="1:1" x14ac:dyDescent="0.3">
      <c r="A309" s="5">
        <f t="shared" si="49"/>
        <v>299</v>
      </c>
    </row>
    <row r="310" spans="1:1" x14ac:dyDescent="0.3">
      <c r="A310" s="5">
        <f t="shared" si="49"/>
        <v>300</v>
      </c>
    </row>
    <row r="311" spans="1:1" x14ac:dyDescent="0.3">
      <c r="A311" s="5">
        <f t="shared" si="49"/>
        <v>301</v>
      </c>
    </row>
    <row r="312" spans="1:1" x14ac:dyDescent="0.3">
      <c r="A312" s="5">
        <f t="shared" si="49"/>
        <v>302</v>
      </c>
    </row>
    <row r="313" spans="1:1" x14ac:dyDescent="0.3">
      <c r="A313" s="5">
        <f t="shared" si="49"/>
        <v>303</v>
      </c>
    </row>
    <row r="314" spans="1:1" x14ac:dyDescent="0.3">
      <c r="A314" s="5">
        <f t="shared" si="49"/>
        <v>304</v>
      </c>
    </row>
    <row r="315" spans="1:1" x14ac:dyDescent="0.3">
      <c r="A315" s="5">
        <f t="shared" si="49"/>
        <v>305</v>
      </c>
    </row>
    <row r="316" spans="1:1" x14ac:dyDescent="0.3">
      <c r="A316" s="5">
        <f t="shared" si="49"/>
        <v>306</v>
      </c>
    </row>
    <row r="317" spans="1:1" x14ac:dyDescent="0.3">
      <c r="A317" s="5">
        <f t="shared" si="49"/>
        <v>307</v>
      </c>
    </row>
    <row r="318" spans="1:1" x14ac:dyDescent="0.3">
      <c r="A318" s="5">
        <f t="shared" si="49"/>
        <v>308</v>
      </c>
    </row>
    <row r="319" spans="1:1" x14ac:dyDescent="0.3">
      <c r="A319" s="5">
        <f t="shared" si="49"/>
        <v>309</v>
      </c>
    </row>
    <row r="320" spans="1:1" x14ac:dyDescent="0.3">
      <c r="A320" s="5">
        <f t="shared" si="49"/>
        <v>310</v>
      </c>
    </row>
    <row r="321" spans="1:1" x14ac:dyDescent="0.3">
      <c r="A321" s="5">
        <f t="shared" si="49"/>
        <v>311</v>
      </c>
    </row>
    <row r="322" spans="1:1" x14ac:dyDescent="0.3">
      <c r="A322" s="5">
        <f t="shared" si="49"/>
        <v>312</v>
      </c>
    </row>
    <row r="323" spans="1:1" x14ac:dyDescent="0.3">
      <c r="A323" s="5">
        <f t="shared" si="49"/>
        <v>313</v>
      </c>
    </row>
    <row r="324" spans="1:1" x14ac:dyDescent="0.3">
      <c r="A324" s="5">
        <f t="shared" si="49"/>
        <v>314</v>
      </c>
    </row>
    <row r="325" spans="1:1" x14ac:dyDescent="0.3">
      <c r="A325" s="5">
        <f t="shared" si="49"/>
        <v>315</v>
      </c>
    </row>
    <row r="326" spans="1:1" x14ac:dyDescent="0.3">
      <c r="A326" s="5">
        <f t="shared" si="49"/>
        <v>316</v>
      </c>
    </row>
    <row r="327" spans="1:1" x14ac:dyDescent="0.3">
      <c r="A327" s="5">
        <f t="shared" si="49"/>
        <v>317</v>
      </c>
    </row>
    <row r="328" spans="1:1" x14ac:dyDescent="0.3">
      <c r="A328" s="5">
        <f t="shared" si="49"/>
        <v>318</v>
      </c>
    </row>
    <row r="329" spans="1:1" x14ac:dyDescent="0.3">
      <c r="A329" s="5">
        <f t="shared" si="49"/>
        <v>319</v>
      </c>
    </row>
    <row r="330" spans="1:1" x14ac:dyDescent="0.3">
      <c r="A330" s="5">
        <f t="shared" si="49"/>
        <v>320</v>
      </c>
    </row>
    <row r="331" spans="1:1" x14ac:dyDescent="0.3">
      <c r="A331" s="5">
        <f t="shared" si="49"/>
        <v>321</v>
      </c>
    </row>
    <row r="332" spans="1:1" x14ac:dyDescent="0.3">
      <c r="A332" s="5">
        <f t="shared" si="49"/>
        <v>322</v>
      </c>
    </row>
    <row r="333" spans="1:1" x14ac:dyDescent="0.3">
      <c r="A333" s="5">
        <f t="shared" ref="A333:A396" si="50">A332+1</f>
        <v>323</v>
      </c>
    </row>
    <row r="334" spans="1:1" x14ac:dyDescent="0.3">
      <c r="A334" s="5">
        <f t="shared" si="50"/>
        <v>324</v>
      </c>
    </row>
    <row r="335" spans="1:1" x14ac:dyDescent="0.3">
      <c r="A335" s="5">
        <f t="shared" si="50"/>
        <v>325</v>
      </c>
    </row>
    <row r="336" spans="1:1" x14ac:dyDescent="0.3">
      <c r="A336" s="5">
        <f t="shared" si="50"/>
        <v>326</v>
      </c>
    </row>
    <row r="337" spans="1:1" x14ac:dyDescent="0.3">
      <c r="A337" s="5">
        <f t="shared" si="50"/>
        <v>327</v>
      </c>
    </row>
    <row r="338" spans="1:1" x14ac:dyDescent="0.3">
      <c r="A338" s="5">
        <f t="shared" si="50"/>
        <v>328</v>
      </c>
    </row>
    <row r="339" spans="1:1" x14ac:dyDescent="0.3">
      <c r="A339" s="5">
        <f t="shared" si="50"/>
        <v>329</v>
      </c>
    </row>
    <row r="340" spans="1:1" x14ac:dyDescent="0.3">
      <c r="A340" s="5">
        <f t="shared" si="50"/>
        <v>330</v>
      </c>
    </row>
    <row r="341" spans="1:1" x14ac:dyDescent="0.3">
      <c r="A341" s="5">
        <f t="shared" si="50"/>
        <v>331</v>
      </c>
    </row>
    <row r="342" spans="1:1" x14ac:dyDescent="0.3">
      <c r="A342" s="5">
        <f t="shared" si="50"/>
        <v>332</v>
      </c>
    </row>
    <row r="343" spans="1:1" x14ac:dyDescent="0.3">
      <c r="A343" s="5">
        <f t="shared" si="50"/>
        <v>333</v>
      </c>
    </row>
    <row r="344" spans="1:1" x14ac:dyDescent="0.3">
      <c r="A344" s="5">
        <f t="shared" si="50"/>
        <v>334</v>
      </c>
    </row>
    <row r="345" spans="1:1" x14ac:dyDescent="0.3">
      <c r="A345" s="5">
        <f t="shared" si="50"/>
        <v>335</v>
      </c>
    </row>
    <row r="346" spans="1:1" x14ac:dyDescent="0.3">
      <c r="A346" s="5">
        <f t="shared" si="50"/>
        <v>336</v>
      </c>
    </row>
    <row r="347" spans="1:1" x14ac:dyDescent="0.3">
      <c r="A347" s="5">
        <f t="shared" si="50"/>
        <v>337</v>
      </c>
    </row>
    <row r="348" spans="1:1" x14ac:dyDescent="0.3">
      <c r="A348" s="5">
        <f t="shared" si="50"/>
        <v>338</v>
      </c>
    </row>
    <row r="349" spans="1:1" x14ac:dyDescent="0.3">
      <c r="A349" s="5">
        <f t="shared" si="50"/>
        <v>339</v>
      </c>
    </row>
    <row r="350" spans="1:1" x14ac:dyDescent="0.3">
      <c r="A350" s="5">
        <f t="shared" si="50"/>
        <v>340</v>
      </c>
    </row>
    <row r="351" spans="1:1" x14ac:dyDescent="0.3">
      <c r="A351" s="5">
        <f t="shared" si="50"/>
        <v>341</v>
      </c>
    </row>
    <row r="352" spans="1:1" x14ac:dyDescent="0.3">
      <c r="A352" s="5">
        <f t="shared" si="50"/>
        <v>342</v>
      </c>
    </row>
    <row r="353" spans="1:1" x14ac:dyDescent="0.3">
      <c r="A353" s="5">
        <f t="shared" si="50"/>
        <v>343</v>
      </c>
    </row>
    <row r="354" spans="1:1" x14ac:dyDescent="0.3">
      <c r="A354" s="5">
        <f t="shared" si="50"/>
        <v>344</v>
      </c>
    </row>
    <row r="355" spans="1:1" x14ac:dyDescent="0.3">
      <c r="A355" s="5">
        <f t="shared" si="50"/>
        <v>345</v>
      </c>
    </row>
    <row r="356" spans="1:1" x14ac:dyDescent="0.3">
      <c r="A356" s="5">
        <f t="shared" si="50"/>
        <v>346</v>
      </c>
    </row>
    <row r="357" spans="1:1" x14ac:dyDescent="0.3">
      <c r="A357" s="5">
        <f t="shared" si="50"/>
        <v>347</v>
      </c>
    </row>
    <row r="358" spans="1:1" x14ac:dyDescent="0.3">
      <c r="A358" s="5">
        <f t="shared" si="50"/>
        <v>348</v>
      </c>
    </row>
    <row r="359" spans="1:1" x14ac:dyDescent="0.3">
      <c r="A359" s="5">
        <f t="shared" si="50"/>
        <v>349</v>
      </c>
    </row>
    <row r="360" spans="1:1" x14ac:dyDescent="0.3">
      <c r="A360" s="5">
        <f t="shared" si="50"/>
        <v>350</v>
      </c>
    </row>
    <row r="361" spans="1:1" x14ac:dyDescent="0.3">
      <c r="A361" s="5">
        <f t="shared" si="50"/>
        <v>351</v>
      </c>
    </row>
    <row r="362" spans="1:1" x14ac:dyDescent="0.3">
      <c r="A362" s="5">
        <f t="shared" si="50"/>
        <v>352</v>
      </c>
    </row>
    <row r="363" spans="1:1" x14ac:dyDescent="0.3">
      <c r="A363" s="5">
        <f t="shared" si="50"/>
        <v>353</v>
      </c>
    </row>
    <row r="364" spans="1:1" x14ac:dyDescent="0.3">
      <c r="A364" s="5">
        <f t="shared" si="50"/>
        <v>354</v>
      </c>
    </row>
    <row r="365" spans="1:1" x14ac:dyDescent="0.3">
      <c r="A365" s="5">
        <f t="shared" si="50"/>
        <v>355</v>
      </c>
    </row>
    <row r="366" spans="1:1" x14ac:dyDescent="0.3">
      <c r="A366" s="5">
        <f t="shared" si="50"/>
        <v>356</v>
      </c>
    </row>
    <row r="367" spans="1:1" x14ac:dyDescent="0.3">
      <c r="A367" s="5">
        <f t="shared" si="50"/>
        <v>357</v>
      </c>
    </row>
    <row r="368" spans="1:1" x14ac:dyDescent="0.3">
      <c r="A368" s="5">
        <f t="shared" si="50"/>
        <v>358</v>
      </c>
    </row>
    <row r="369" spans="1:1" x14ac:dyDescent="0.3">
      <c r="A369" s="5">
        <f t="shared" si="50"/>
        <v>359</v>
      </c>
    </row>
    <row r="370" spans="1:1" x14ac:dyDescent="0.3">
      <c r="A370" s="5">
        <f t="shared" si="50"/>
        <v>360</v>
      </c>
    </row>
    <row r="371" spans="1:1" x14ac:dyDescent="0.3">
      <c r="A371" s="5">
        <f t="shared" si="50"/>
        <v>361</v>
      </c>
    </row>
    <row r="372" spans="1:1" x14ac:dyDescent="0.3">
      <c r="A372" s="5">
        <f t="shared" si="50"/>
        <v>362</v>
      </c>
    </row>
    <row r="373" spans="1:1" x14ac:dyDescent="0.3">
      <c r="A373" s="5">
        <f t="shared" si="50"/>
        <v>363</v>
      </c>
    </row>
    <row r="374" spans="1:1" x14ac:dyDescent="0.3">
      <c r="A374" s="5">
        <f t="shared" si="50"/>
        <v>364</v>
      </c>
    </row>
    <row r="375" spans="1:1" x14ac:dyDescent="0.3">
      <c r="A375" s="5">
        <f t="shared" si="50"/>
        <v>365</v>
      </c>
    </row>
    <row r="376" spans="1:1" x14ac:dyDescent="0.3">
      <c r="A376" s="5">
        <f t="shared" si="50"/>
        <v>366</v>
      </c>
    </row>
    <row r="377" spans="1:1" x14ac:dyDescent="0.3">
      <c r="A377" s="5">
        <f t="shared" si="50"/>
        <v>367</v>
      </c>
    </row>
    <row r="378" spans="1:1" x14ac:dyDescent="0.3">
      <c r="A378" s="5">
        <f t="shared" si="50"/>
        <v>368</v>
      </c>
    </row>
    <row r="379" spans="1:1" x14ac:dyDescent="0.3">
      <c r="A379" s="5">
        <f t="shared" si="50"/>
        <v>369</v>
      </c>
    </row>
    <row r="380" spans="1:1" x14ac:dyDescent="0.3">
      <c r="A380" s="5">
        <f t="shared" si="50"/>
        <v>370</v>
      </c>
    </row>
    <row r="381" spans="1:1" x14ac:dyDescent="0.3">
      <c r="A381" s="5">
        <f t="shared" si="50"/>
        <v>371</v>
      </c>
    </row>
    <row r="382" spans="1:1" x14ac:dyDescent="0.3">
      <c r="A382" s="5">
        <f t="shared" si="50"/>
        <v>372</v>
      </c>
    </row>
    <row r="383" spans="1:1" x14ac:dyDescent="0.3">
      <c r="A383" s="5">
        <f t="shared" si="50"/>
        <v>373</v>
      </c>
    </row>
    <row r="384" spans="1:1" x14ac:dyDescent="0.3">
      <c r="A384" s="5">
        <f t="shared" si="50"/>
        <v>374</v>
      </c>
    </row>
    <row r="385" spans="1:1" x14ac:dyDescent="0.3">
      <c r="A385" s="5">
        <f t="shared" si="50"/>
        <v>375</v>
      </c>
    </row>
    <row r="386" spans="1:1" x14ac:dyDescent="0.3">
      <c r="A386" s="5">
        <f t="shared" si="50"/>
        <v>376</v>
      </c>
    </row>
    <row r="387" spans="1:1" x14ac:dyDescent="0.3">
      <c r="A387" s="5">
        <f t="shared" si="50"/>
        <v>377</v>
      </c>
    </row>
    <row r="388" spans="1:1" x14ac:dyDescent="0.3">
      <c r="A388" s="5">
        <f t="shared" si="50"/>
        <v>378</v>
      </c>
    </row>
    <row r="389" spans="1:1" x14ac:dyDescent="0.3">
      <c r="A389" s="5">
        <f t="shared" si="50"/>
        <v>379</v>
      </c>
    </row>
    <row r="390" spans="1:1" x14ac:dyDescent="0.3">
      <c r="A390" s="5">
        <f t="shared" si="50"/>
        <v>380</v>
      </c>
    </row>
    <row r="391" spans="1:1" x14ac:dyDescent="0.3">
      <c r="A391" s="5">
        <f t="shared" si="50"/>
        <v>381</v>
      </c>
    </row>
    <row r="392" spans="1:1" x14ac:dyDescent="0.3">
      <c r="A392" s="5">
        <f t="shared" si="50"/>
        <v>382</v>
      </c>
    </row>
    <row r="393" spans="1:1" x14ac:dyDescent="0.3">
      <c r="A393" s="5">
        <f t="shared" si="50"/>
        <v>383</v>
      </c>
    </row>
    <row r="394" spans="1:1" x14ac:dyDescent="0.3">
      <c r="A394" s="5">
        <f t="shared" si="50"/>
        <v>384</v>
      </c>
    </row>
    <row r="395" spans="1:1" x14ac:dyDescent="0.3">
      <c r="A395" s="5">
        <f t="shared" si="50"/>
        <v>385</v>
      </c>
    </row>
    <row r="396" spans="1:1" x14ac:dyDescent="0.3">
      <c r="A396" s="5">
        <f t="shared" si="50"/>
        <v>386</v>
      </c>
    </row>
    <row r="397" spans="1:1" x14ac:dyDescent="0.3">
      <c r="A397" s="5">
        <f t="shared" ref="A397:A460" si="51">A396+1</f>
        <v>387</v>
      </c>
    </row>
    <row r="398" spans="1:1" x14ac:dyDescent="0.3">
      <c r="A398" s="5">
        <f t="shared" si="51"/>
        <v>388</v>
      </c>
    </row>
    <row r="399" spans="1:1" x14ac:dyDescent="0.3">
      <c r="A399" s="5">
        <f t="shared" si="51"/>
        <v>389</v>
      </c>
    </row>
    <row r="400" spans="1:1" x14ac:dyDescent="0.3">
      <c r="A400" s="5">
        <f t="shared" si="51"/>
        <v>390</v>
      </c>
    </row>
    <row r="401" spans="1:1" x14ac:dyDescent="0.3">
      <c r="A401" s="5">
        <f t="shared" si="51"/>
        <v>391</v>
      </c>
    </row>
    <row r="402" spans="1:1" x14ac:dyDescent="0.3">
      <c r="A402" s="5">
        <f t="shared" si="51"/>
        <v>392</v>
      </c>
    </row>
    <row r="403" spans="1:1" x14ac:dyDescent="0.3">
      <c r="A403" s="5">
        <f t="shared" si="51"/>
        <v>393</v>
      </c>
    </row>
    <row r="404" spans="1:1" x14ac:dyDescent="0.3">
      <c r="A404" s="5">
        <f t="shared" si="51"/>
        <v>394</v>
      </c>
    </row>
    <row r="405" spans="1:1" x14ac:dyDescent="0.3">
      <c r="A405" s="5">
        <f t="shared" si="51"/>
        <v>395</v>
      </c>
    </row>
    <row r="406" spans="1:1" x14ac:dyDescent="0.3">
      <c r="A406" s="5">
        <f t="shared" si="51"/>
        <v>396</v>
      </c>
    </row>
    <row r="407" spans="1:1" x14ac:dyDescent="0.3">
      <c r="A407" s="5">
        <f t="shared" si="51"/>
        <v>397</v>
      </c>
    </row>
    <row r="408" spans="1:1" x14ac:dyDescent="0.3">
      <c r="A408" s="5">
        <f t="shared" si="51"/>
        <v>398</v>
      </c>
    </row>
    <row r="409" spans="1:1" x14ac:dyDescent="0.3">
      <c r="A409" s="5">
        <f t="shared" si="51"/>
        <v>399</v>
      </c>
    </row>
    <row r="410" spans="1:1" x14ac:dyDescent="0.3">
      <c r="A410" s="5">
        <f t="shared" si="51"/>
        <v>400</v>
      </c>
    </row>
    <row r="411" spans="1:1" x14ac:dyDescent="0.3">
      <c r="A411" s="5">
        <f t="shared" si="51"/>
        <v>401</v>
      </c>
    </row>
    <row r="412" spans="1:1" x14ac:dyDescent="0.3">
      <c r="A412" s="5">
        <f t="shared" si="51"/>
        <v>402</v>
      </c>
    </row>
    <row r="413" spans="1:1" x14ac:dyDescent="0.3">
      <c r="A413" s="5">
        <f t="shared" si="51"/>
        <v>403</v>
      </c>
    </row>
    <row r="414" spans="1:1" x14ac:dyDescent="0.3">
      <c r="A414" s="5">
        <f t="shared" si="51"/>
        <v>404</v>
      </c>
    </row>
    <row r="415" spans="1:1" x14ac:dyDescent="0.3">
      <c r="A415" s="5">
        <f t="shared" si="51"/>
        <v>405</v>
      </c>
    </row>
    <row r="416" spans="1:1" x14ac:dyDescent="0.3">
      <c r="A416" s="5">
        <f t="shared" si="51"/>
        <v>406</v>
      </c>
    </row>
    <row r="417" spans="1:1" x14ac:dyDescent="0.3">
      <c r="A417" s="5">
        <f t="shared" si="51"/>
        <v>407</v>
      </c>
    </row>
    <row r="418" spans="1:1" x14ac:dyDescent="0.3">
      <c r="A418" s="5">
        <f t="shared" si="51"/>
        <v>408</v>
      </c>
    </row>
    <row r="419" spans="1:1" x14ac:dyDescent="0.3">
      <c r="A419" s="5">
        <f t="shared" si="51"/>
        <v>409</v>
      </c>
    </row>
    <row r="420" spans="1:1" x14ac:dyDescent="0.3">
      <c r="A420" s="5">
        <f t="shared" si="51"/>
        <v>410</v>
      </c>
    </row>
    <row r="421" spans="1:1" x14ac:dyDescent="0.3">
      <c r="A421" s="5">
        <f t="shared" si="51"/>
        <v>411</v>
      </c>
    </row>
    <row r="422" spans="1:1" x14ac:dyDescent="0.3">
      <c r="A422" s="5">
        <f t="shared" si="51"/>
        <v>412</v>
      </c>
    </row>
    <row r="423" spans="1:1" x14ac:dyDescent="0.3">
      <c r="A423" s="5">
        <f t="shared" si="51"/>
        <v>413</v>
      </c>
    </row>
    <row r="424" spans="1:1" x14ac:dyDescent="0.3">
      <c r="A424" s="5">
        <f t="shared" si="51"/>
        <v>414</v>
      </c>
    </row>
    <row r="425" spans="1:1" x14ac:dyDescent="0.3">
      <c r="A425" s="5">
        <f t="shared" si="51"/>
        <v>415</v>
      </c>
    </row>
    <row r="426" spans="1:1" x14ac:dyDescent="0.3">
      <c r="A426" s="5">
        <f t="shared" si="51"/>
        <v>416</v>
      </c>
    </row>
    <row r="427" spans="1:1" x14ac:dyDescent="0.3">
      <c r="A427" s="5">
        <f t="shared" si="51"/>
        <v>417</v>
      </c>
    </row>
    <row r="428" spans="1:1" x14ac:dyDescent="0.3">
      <c r="A428" s="5">
        <f t="shared" si="51"/>
        <v>418</v>
      </c>
    </row>
    <row r="429" spans="1:1" x14ac:dyDescent="0.3">
      <c r="A429" s="5">
        <f t="shared" si="51"/>
        <v>419</v>
      </c>
    </row>
    <row r="430" spans="1:1" x14ac:dyDescent="0.3">
      <c r="A430" s="5">
        <f t="shared" si="51"/>
        <v>420</v>
      </c>
    </row>
    <row r="431" spans="1:1" x14ac:dyDescent="0.3">
      <c r="A431" s="5">
        <f t="shared" si="51"/>
        <v>421</v>
      </c>
    </row>
    <row r="432" spans="1:1" x14ac:dyDescent="0.3">
      <c r="A432" s="5">
        <f t="shared" si="51"/>
        <v>422</v>
      </c>
    </row>
    <row r="433" spans="1:1" x14ac:dyDescent="0.3">
      <c r="A433" s="5">
        <f t="shared" si="51"/>
        <v>423</v>
      </c>
    </row>
    <row r="434" spans="1:1" x14ac:dyDescent="0.3">
      <c r="A434" s="5">
        <f t="shared" si="51"/>
        <v>424</v>
      </c>
    </row>
    <row r="435" spans="1:1" x14ac:dyDescent="0.3">
      <c r="A435" s="5">
        <f t="shared" si="51"/>
        <v>425</v>
      </c>
    </row>
    <row r="436" spans="1:1" x14ac:dyDescent="0.3">
      <c r="A436" s="5">
        <f t="shared" si="51"/>
        <v>426</v>
      </c>
    </row>
    <row r="437" spans="1:1" x14ac:dyDescent="0.3">
      <c r="A437" s="5">
        <f t="shared" si="51"/>
        <v>427</v>
      </c>
    </row>
    <row r="438" spans="1:1" x14ac:dyDescent="0.3">
      <c r="A438" s="5">
        <f t="shared" si="51"/>
        <v>428</v>
      </c>
    </row>
    <row r="439" spans="1:1" x14ac:dyDescent="0.3">
      <c r="A439" s="5">
        <f t="shared" si="51"/>
        <v>429</v>
      </c>
    </row>
    <row r="440" spans="1:1" x14ac:dyDescent="0.3">
      <c r="A440" s="5">
        <f t="shared" si="51"/>
        <v>430</v>
      </c>
    </row>
    <row r="441" spans="1:1" x14ac:dyDescent="0.3">
      <c r="A441" s="5">
        <f t="shared" si="51"/>
        <v>431</v>
      </c>
    </row>
    <row r="442" spans="1:1" x14ac:dyDescent="0.3">
      <c r="A442" s="5">
        <f t="shared" si="51"/>
        <v>432</v>
      </c>
    </row>
    <row r="443" spans="1:1" x14ac:dyDescent="0.3">
      <c r="A443" s="5">
        <f t="shared" si="51"/>
        <v>433</v>
      </c>
    </row>
    <row r="444" spans="1:1" x14ac:dyDescent="0.3">
      <c r="A444" s="5">
        <f t="shared" si="51"/>
        <v>434</v>
      </c>
    </row>
    <row r="445" spans="1:1" x14ac:dyDescent="0.3">
      <c r="A445" s="5">
        <f t="shared" si="51"/>
        <v>435</v>
      </c>
    </row>
    <row r="446" spans="1:1" x14ac:dyDescent="0.3">
      <c r="A446" s="5">
        <f t="shared" si="51"/>
        <v>436</v>
      </c>
    </row>
    <row r="447" spans="1:1" x14ac:dyDescent="0.3">
      <c r="A447" s="5">
        <f t="shared" si="51"/>
        <v>437</v>
      </c>
    </row>
    <row r="448" spans="1:1" x14ac:dyDescent="0.3">
      <c r="A448" s="5">
        <f t="shared" si="51"/>
        <v>438</v>
      </c>
    </row>
    <row r="449" spans="1:1" x14ac:dyDescent="0.3">
      <c r="A449" s="5">
        <f t="shared" si="51"/>
        <v>439</v>
      </c>
    </row>
    <row r="450" spans="1:1" x14ac:dyDescent="0.3">
      <c r="A450" s="5">
        <f t="shared" si="51"/>
        <v>440</v>
      </c>
    </row>
    <row r="451" spans="1:1" x14ac:dyDescent="0.3">
      <c r="A451" s="5">
        <f t="shared" si="51"/>
        <v>441</v>
      </c>
    </row>
    <row r="452" spans="1:1" x14ac:dyDescent="0.3">
      <c r="A452" s="5">
        <f t="shared" si="51"/>
        <v>442</v>
      </c>
    </row>
    <row r="453" spans="1:1" x14ac:dyDescent="0.3">
      <c r="A453" s="5">
        <f t="shared" si="51"/>
        <v>443</v>
      </c>
    </row>
    <row r="454" spans="1:1" x14ac:dyDescent="0.3">
      <c r="A454" s="5">
        <f t="shared" si="51"/>
        <v>444</v>
      </c>
    </row>
    <row r="455" spans="1:1" x14ac:dyDescent="0.3">
      <c r="A455" s="5">
        <f t="shared" si="51"/>
        <v>445</v>
      </c>
    </row>
    <row r="456" spans="1:1" x14ac:dyDescent="0.3">
      <c r="A456" s="5">
        <f t="shared" si="51"/>
        <v>446</v>
      </c>
    </row>
    <row r="457" spans="1:1" x14ac:dyDescent="0.3">
      <c r="A457" s="5">
        <f t="shared" si="51"/>
        <v>447</v>
      </c>
    </row>
    <row r="458" spans="1:1" x14ac:dyDescent="0.3">
      <c r="A458" s="5">
        <f t="shared" si="51"/>
        <v>448</v>
      </c>
    </row>
    <row r="459" spans="1:1" x14ac:dyDescent="0.3">
      <c r="A459" s="5">
        <f t="shared" si="51"/>
        <v>449</v>
      </c>
    </row>
    <row r="460" spans="1:1" x14ac:dyDescent="0.3">
      <c r="A460" s="5">
        <f t="shared" si="51"/>
        <v>450</v>
      </c>
    </row>
    <row r="461" spans="1:1" x14ac:dyDescent="0.3">
      <c r="A461" s="5">
        <f t="shared" ref="A461:A524" si="52">A460+1</f>
        <v>451</v>
      </c>
    </row>
    <row r="462" spans="1:1" x14ac:dyDescent="0.3">
      <c r="A462" s="5">
        <f t="shared" si="52"/>
        <v>452</v>
      </c>
    </row>
    <row r="463" spans="1:1" x14ac:dyDescent="0.3">
      <c r="A463" s="5">
        <f t="shared" si="52"/>
        <v>453</v>
      </c>
    </row>
    <row r="464" spans="1:1" x14ac:dyDescent="0.3">
      <c r="A464" s="5">
        <f t="shared" si="52"/>
        <v>454</v>
      </c>
    </row>
    <row r="465" spans="1:1" x14ac:dyDescent="0.3">
      <c r="A465" s="5">
        <f t="shared" si="52"/>
        <v>455</v>
      </c>
    </row>
    <row r="466" spans="1:1" x14ac:dyDescent="0.3">
      <c r="A466" s="5">
        <f t="shared" si="52"/>
        <v>456</v>
      </c>
    </row>
    <row r="467" spans="1:1" x14ac:dyDescent="0.3">
      <c r="A467" s="5">
        <f t="shared" si="52"/>
        <v>457</v>
      </c>
    </row>
    <row r="468" spans="1:1" x14ac:dyDescent="0.3">
      <c r="A468" s="5">
        <f t="shared" si="52"/>
        <v>458</v>
      </c>
    </row>
    <row r="469" spans="1:1" x14ac:dyDescent="0.3">
      <c r="A469" s="5">
        <f t="shared" si="52"/>
        <v>459</v>
      </c>
    </row>
    <row r="470" spans="1:1" x14ac:dyDescent="0.3">
      <c r="A470" s="5">
        <f t="shared" si="52"/>
        <v>460</v>
      </c>
    </row>
    <row r="471" spans="1:1" x14ac:dyDescent="0.3">
      <c r="A471" s="5">
        <f t="shared" si="52"/>
        <v>461</v>
      </c>
    </row>
    <row r="472" spans="1:1" x14ac:dyDescent="0.3">
      <c r="A472" s="5">
        <f t="shared" si="52"/>
        <v>462</v>
      </c>
    </row>
    <row r="473" spans="1:1" x14ac:dyDescent="0.3">
      <c r="A473" s="5">
        <f t="shared" si="52"/>
        <v>463</v>
      </c>
    </row>
    <row r="474" spans="1:1" x14ac:dyDescent="0.3">
      <c r="A474" s="5">
        <f t="shared" si="52"/>
        <v>464</v>
      </c>
    </row>
    <row r="475" spans="1:1" x14ac:dyDescent="0.3">
      <c r="A475" s="5">
        <f t="shared" si="52"/>
        <v>465</v>
      </c>
    </row>
    <row r="476" spans="1:1" x14ac:dyDescent="0.3">
      <c r="A476" s="5">
        <f t="shared" si="52"/>
        <v>466</v>
      </c>
    </row>
    <row r="477" spans="1:1" x14ac:dyDescent="0.3">
      <c r="A477" s="5">
        <f t="shared" si="52"/>
        <v>467</v>
      </c>
    </row>
    <row r="478" spans="1:1" x14ac:dyDescent="0.3">
      <c r="A478" s="5">
        <f t="shared" si="52"/>
        <v>468</v>
      </c>
    </row>
    <row r="479" spans="1:1" x14ac:dyDescent="0.3">
      <c r="A479" s="5">
        <f t="shared" si="52"/>
        <v>469</v>
      </c>
    </row>
    <row r="480" spans="1:1" x14ac:dyDescent="0.3">
      <c r="A480" s="5">
        <f t="shared" si="52"/>
        <v>470</v>
      </c>
    </row>
    <row r="481" spans="1:1" x14ac:dyDescent="0.3">
      <c r="A481" s="5">
        <f t="shared" si="52"/>
        <v>471</v>
      </c>
    </row>
    <row r="482" spans="1:1" x14ac:dyDescent="0.3">
      <c r="A482" s="5">
        <f t="shared" si="52"/>
        <v>472</v>
      </c>
    </row>
    <row r="483" spans="1:1" x14ac:dyDescent="0.3">
      <c r="A483" s="5">
        <f t="shared" si="52"/>
        <v>473</v>
      </c>
    </row>
    <row r="484" spans="1:1" x14ac:dyDescent="0.3">
      <c r="A484" s="5">
        <f t="shared" si="52"/>
        <v>474</v>
      </c>
    </row>
    <row r="485" spans="1:1" x14ac:dyDescent="0.3">
      <c r="A485" s="5">
        <f t="shared" si="52"/>
        <v>475</v>
      </c>
    </row>
    <row r="486" spans="1:1" x14ac:dyDescent="0.3">
      <c r="A486" s="5">
        <f t="shared" si="52"/>
        <v>476</v>
      </c>
    </row>
    <row r="487" spans="1:1" x14ac:dyDescent="0.3">
      <c r="A487" s="5">
        <f t="shared" si="52"/>
        <v>477</v>
      </c>
    </row>
    <row r="488" spans="1:1" x14ac:dyDescent="0.3">
      <c r="A488" s="5">
        <f t="shared" si="52"/>
        <v>478</v>
      </c>
    </row>
    <row r="489" spans="1:1" x14ac:dyDescent="0.3">
      <c r="A489" s="5">
        <f t="shared" si="52"/>
        <v>479</v>
      </c>
    </row>
    <row r="490" spans="1:1" x14ac:dyDescent="0.3">
      <c r="A490" s="5">
        <f t="shared" si="52"/>
        <v>480</v>
      </c>
    </row>
    <row r="491" spans="1:1" x14ac:dyDescent="0.3">
      <c r="A491" s="5">
        <f t="shared" si="52"/>
        <v>481</v>
      </c>
    </row>
    <row r="492" spans="1:1" x14ac:dyDescent="0.3">
      <c r="A492" s="5">
        <f t="shared" si="52"/>
        <v>482</v>
      </c>
    </row>
    <row r="493" spans="1:1" x14ac:dyDescent="0.3">
      <c r="A493" s="5">
        <f t="shared" si="52"/>
        <v>483</v>
      </c>
    </row>
    <row r="494" spans="1:1" x14ac:dyDescent="0.3">
      <c r="A494" s="5">
        <f t="shared" si="52"/>
        <v>484</v>
      </c>
    </row>
    <row r="495" spans="1:1" x14ac:dyDescent="0.3">
      <c r="A495" s="5">
        <f t="shared" si="52"/>
        <v>485</v>
      </c>
    </row>
    <row r="496" spans="1:1" x14ac:dyDescent="0.3">
      <c r="A496" s="5">
        <f t="shared" si="52"/>
        <v>486</v>
      </c>
    </row>
    <row r="497" spans="1:1" x14ac:dyDescent="0.3">
      <c r="A497" s="5">
        <f t="shared" si="52"/>
        <v>487</v>
      </c>
    </row>
    <row r="498" spans="1:1" x14ac:dyDescent="0.3">
      <c r="A498" s="5">
        <f t="shared" si="52"/>
        <v>488</v>
      </c>
    </row>
    <row r="499" spans="1:1" x14ac:dyDescent="0.3">
      <c r="A499" s="5">
        <f t="shared" si="52"/>
        <v>489</v>
      </c>
    </row>
    <row r="500" spans="1:1" x14ac:dyDescent="0.3">
      <c r="A500" s="5">
        <f t="shared" si="52"/>
        <v>490</v>
      </c>
    </row>
    <row r="501" spans="1:1" x14ac:dyDescent="0.3">
      <c r="A501" s="5">
        <f t="shared" si="52"/>
        <v>491</v>
      </c>
    </row>
    <row r="502" spans="1:1" x14ac:dyDescent="0.3">
      <c r="A502" s="5">
        <f t="shared" si="52"/>
        <v>492</v>
      </c>
    </row>
    <row r="503" spans="1:1" x14ac:dyDescent="0.3">
      <c r="A503" s="5">
        <f t="shared" si="52"/>
        <v>493</v>
      </c>
    </row>
    <row r="504" spans="1:1" x14ac:dyDescent="0.3">
      <c r="A504" s="5">
        <f t="shared" si="52"/>
        <v>494</v>
      </c>
    </row>
    <row r="505" spans="1:1" x14ac:dyDescent="0.3">
      <c r="A505" s="5">
        <f t="shared" si="52"/>
        <v>495</v>
      </c>
    </row>
    <row r="506" spans="1:1" x14ac:dyDescent="0.3">
      <c r="A506" s="5">
        <f t="shared" si="52"/>
        <v>496</v>
      </c>
    </row>
    <row r="507" spans="1:1" x14ac:dyDescent="0.3">
      <c r="A507" s="5">
        <f t="shared" si="52"/>
        <v>497</v>
      </c>
    </row>
    <row r="508" spans="1:1" x14ac:dyDescent="0.3">
      <c r="A508" s="5">
        <f t="shared" si="52"/>
        <v>498</v>
      </c>
    </row>
    <row r="509" spans="1:1" x14ac:dyDescent="0.3">
      <c r="A509" s="5">
        <f t="shared" si="52"/>
        <v>499</v>
      </c>
    </row>
    <row r="510" spans="1:1" x14ac:dyDescent="0.3">
      <c r="A510" s="5">
        <f t="shared" si="52"/>
        <v>500</v>
      </c>
    </row>
    <row r="511" spans="1:1" x14ac:dyDescent="0.3">
      <c r="A511" s="5">
        <f t="shared" si="52"/>
        <v>501</v>
      </c>
    </row>
    <row r="512" spans="1:1" x14ac:dyDescent="0.3">
      <c r="A512" s="5">
        <f t="shared" si="52"/>
        <v>502</v>
      </c>
    </row>
    <row r="513" spans="1:1" x14ac:dyDescent="0.3">
      <c r="A513" s="5">
        <f t="shared" si="52"/>
        <v>503</v>
      </c>
    </row>
    <row r="514" spans="1:1" x14ac:dyDescent="0.3">
      <c r="A514" s="5">
        <f t="shared" si="52"/>
        <v>504</v>
      </c>
    </row>
    <row r="515" spans="1:1" x14ac:dyDescent="0.3">
      <c r="A515" s="5">
        <f t="shared" si="52"/>
        <v>505</v>
      </c>
    </row>
    <row r="516" spans="1:1" x14ac:dyDescent="0.3">
      <c r="A516" s="5">
        <f t="shared" si="52"/>
        <v>506</v>
      </c>
    </row>
    <row r="517" spans="1:1" x14ac:dyDescent="0.3">
      <c r="A517" s="5">
        <f t="shared" si="52"/>
        <v>507</v>
      </c>
    </row>
    <row r="518" spans="1:1" x14ac:dyDescent="0.3">
      <c r="A518" s="5">
        <f t="shared" si="52"/>
        <v>508</v>
      </c>
    </row>
    <row r="519" spans="1:1" x14ac:dyDescent="0.3">
      <c r="A519" s="5">
        <f t="shared" si="52"/>
        <v>509</v>
      </c>
    </row>
    <row r="520" spans="1:1" x14ac:dyDescent="0.3">
      <c r="A520" s="5">
        <f t="shared" si="52"/>
        <v>510</v>
      </c>
    </row>
    <row r="521" spans="1:1" x14ac:dyDescent="0.3">
      <c r="A521" s="5">
        <f t="shared" si="52"/>
        <v>511</v>
      </c>
    </row>
    <row r="522" spans="1:1" x14ac:dyDescent="0.3">
      <c r="A522" s="5">
        <f t="shared" si="52"/>
        <v>512</v>
      </c>
    </row>
    <row r="523" spans="1:1" x14ac:dyDescent="0.3">
      <c r="A523" s="5">
        <f t="shared" si="52"/>
        <v>513</v>
      </c>
    </row>
    <row r="524" spans="1:1" x14ac:dyDescent="0.3">
      <c r="A524" s="5">
        <f t="shared" si="52"/>
        <v>514</v>
      </c>
    </row>
    <row r="525" spans="1:1" x14ac:dyDescent="0.3">
      <c r="A525" s="5">
        <f t="shared" ref="A525:A588" si="53">A524+1</f>
        <v>515</v>
      </c>
    </row>
    <row r="526" spans="1:1" x14ac:dyDescent="0.3">
      <c r="A526" s="5">
        <f t="shared" si="53"/>
        <v>516</v>
      </c>
    </row>
    <row r="527" spans="1:1" x14ac:dyDescent="0.3">
      <c r="A527" s="5">
        <f t="shared" si="53"/>
        <v>517</v>
      </c>
    </row>
    <row r="528" spans="1:1" x14ac:dyDescent="0.3">
      <c r="A528" s="5">
        <f t="shared" si="53"/>
        <v>518</v>
      </c>
    </row>
    <row r="529" spans="1:1" x14ac:dyDescent="0.3">
      <c r="A529" s="5">
        <f t="shared" si="53"/>
        <v>519</v>
      </c>
    </row>
    <row r="530" spans="1:1" x14ac:dyDescent="0.3">
      <c r="A530" s="5">
        <f t="shared" si="53"/>
        <v>520</v>
      </c>
    </row>
    <row r="531" spans="1:1" x14ac:dyDescent="0.3">
      <c r="A531" s="5">
        <f t="shared" si="53"/>
        <v>521</v>
      </c>
    </row>
    <row r="532" spans="1:1" x14ac:dyDescent="0.3">
      <c r="A532" s="5">
        <f t="shared" si="53"/>
        <v>522</v>
      </c>
    </row>
    <row r="533" spans="1:1" x14ac:dyDescent="0.3">
      <c r="A533" s="5">
        <f t="shared" si="53"/>
        <v>523</v>
      </c>
    </row>
    <row r="534" spans="1:1" x14ac:dyDescent="0.3">
      <c r="A534" s="5">
        <f t="shared" si="53"/>
        <v>524</v>
      </c>
    </row>
    <row r="535" spans="1:1" x14ac:dyDescent="0.3">
      <c r="A535" s="5">
        <f t="shared" si="53"/>
        <v>525</v>
      </c>
    </row>
    <row r="536" spans="1:1" x14ac:dyDescent="0.3">
      <c r="A536" s="5">
        <f t="shared" si="53"/>
        <v>526</v>
      </c>
    </row>
    <row r="537" spans="1:1" x14ac:dyDescent="0.3">
      <c r="A537" s="5">
        <f t="shared" si="53"/>
        <v>527</v>
      </c>
    </row>
    <row r="538" spans="1:1" x14ac:dyDescent="0.3">
      <c r="A538" s="5">
        <f t="shared" si="53"/>
        <v>528</v>
      </c>
    </row>
    <row r="539" spans="1:1" x14ac:dyDescent="0.3">
      <c r="A539" s="5">
        <f t="shared" si="53"/>
        <v>529</v>
      </c>
    </row>
    <row r="540" spans="1:1" x14ac:dyDescent="0.3">
      <c r="A540" s="5">
        <f t="shared" si="53"/>
        <v>530</v>
      </c>
    </row>
    <row r="541" spans="1:1" x14ac:dyDescent="0.3">
      <c r="A541" s="5">
        <f t="shared" si="53"/>
        <v>531</v>
      </c>
    </row>
    <row r="542" spans="1:1" x14ac:dyDescent="0.3">
      <c r="A542" s="5">
        <f t="shared" si="53"/>
        <v>532</v>
      </c>
    </row>
    <row r="543" spans="1:1" x14ac:dyDescent="0.3">
      <c r="A543" s="5">
        <f t="shared" si="53"/>
        <v>533</v>
      </c>
    </row>
    <row r="544" spans="1:1" x14ac:dyDescent="0.3">
      <c r="A544" s="5">
        <f t="shared" si="53"/>
        <v>534</v>
      </c>
    </row>
    <row r="545" spans="1:1" x14ac:dyDescent="0.3">
      <c r="A545" s="5">
        <f t="shared" si="53"/>
        <v>535</v>
      </c>
    </row>
    <row r="546" spans="1:1" x14ac:dyDescent="0.3">
      <c r="A546" s="5">
        <f t="shared" si="53"/>
        <v>536</v>
      </c>
    </row>
    <row r="547" spans="1:1" x14ac:dyDescent="0.3">
      <c r="A547" s="5">
        <f t="shared" si="53"/>
        <v>537</v>
      </c>
    </row>
    <row r="548" spans="1:1" x14ac:dyDescent="0.3">
      <c r="A548" s="5">
        <f t="shared" si="53"/>
        <v>538</v>
      </c>
    </row>
    <row r="549" spans="1:1" x14ac:dyDescent="0.3">
      <c r="A549" s="5">
        <f t="shared" si="53"/>
        <v>539</v>
      </c>
    </row>
    <row r="550" spans="1:1" x14ac:dyDescent="0.3">
      <c r="A550" s="5">
        <f t="shared" si="53"/>
        <v>540</v>
      </c>
    </row>
    <row r="551" spans="1:1" x14ac:dyDescent="0.3">
      <c r="A551" s="5">
        <f t="shared" si="53"/>
        <v>541</v>
      </c>
    </row>
    <row r="552" spans="1:1" x14ac:dyDescent="0.3">
      <c r="A552" s="5">
        <f t="shared" si="53"/>
        <v>542</v>
      </c>
    </row>
    <row r="553" spans="1:1" x14ac:dyDescent="0.3">
      <c r="A553" s="5">
        <f t="shared" si="53"/>
        <v>543</v>
      </c>
    </row>
    <row r="554" spans="1:1" x14ac:dyDescent="0.3">
      <c r="A554" s="5">
        <f t="shared" si="53"/>
        <v>544</v>
      </c>
    </row>
    <row r="555" spans="1:1" x14ac:dyDescent="0.3">
      <c r="A555" s="5">
        <f t="shared" si="53"/>
        <v>545</v>
      </c>
    </row>
    <row r="556" spans="1:1" x14ac:dyDescent="0.3">
      <c r="A556" s="5">
        <f t="shared" si="53"/>
        <v>546</v>
      </c>
    </row>
    <row r="557" spans="1:1" x14ac:dyDescent="0.3">
      <c r="A557" s="5">
        <f t="shared" si="53"/>
        <v>547</v>
      </c>
    </row>
    <row r="558" spans="1:1" x14ac:dyDescent="0.3">
      <c r="A558" s="5">
        <f t="shared" si="53"/>
        <v>548</v>
      </c>
    </row>
    <row r="559" spans="1:1" x14ac:dyDescent="0.3">
      <c r="A559" s="5">
        <f t="shared" si="53"/>
        <v>549</v>
      </c>
    </row>
    <row r="560" spans="1:1" x14ac:dyDescent="0.3">
      <c r="A560" s="5">
        <f t="shared" si="53"/>
        <v>550</v>
      </c>
    </row>
    <row r="561" spans="1:1" x14ac:dyDescent="0.3">
      <c r="A561" s="5">
        <f t="shared" si="53"/>
        <v>551</v>
      </c>
    </row>
    <row r="562" spans="1:1" x14ac:dyDescent="0.3">
      <c r="A562" s="5">
        <f t="shared" si="53"/>
        <v>552</v>
      </c>
    </row>
    <row r="563" spans="1:1" x14ac:dyDescent="0.3">
      <c r="A563" s="5">
        <f t="shared" si="53"/>
        <v>553</v>
      </c>
    </row>
    <row r="564" spans="1:1" x14ac:dyDescent="0.3">
      <c r="A564" s="5">
        <f t="shared" si="53"/>
        <v>554</v>
      </c>
    </row>
    <row r="565" spans="1:1" x14ac:dyDescent="0.3">
      <c r="A565" s="5">
        <f t="shared" si="53"/>
        <v>555</v>
      </c>
    </row>
    <row r="566" spans="1:1" x14ac:dyDescent="0.3">
      <c r="A566" s="5">
        <f t="shared" si="53"/>
        <v>556</v>
      </c>
    </row>
    <row r="567" spans="1:1" x14ac:dyDescent="0.3">
      <c r="A567" s="5">
        <f t="shared" si="53"/>
        <v>557</v>
      </c>
    </row>
    <row r="568" spans="1:1" x14ac:dyDescent="0.3">
      <c r="A568" s="5">
        <f t="shared" si="53"/>
        <v>558</v>
      </c>
    </row>
    <row r="569" spans="1:1" x14ac:dyDescent="0.3">
      <c r="A569" s="5">
        <f t="shared" si="53"/>
        <v>559</v>
      </c>
    </row>
    <row r="570" spans="1:1" x14ac:dyDescent="0.3">
      <c r="A570" s="5">
        <f t="shared" si="53"/>
        <v>560</v>
      </c>
    </row>
    <row r="571" spans="1:1" x14ac:dyDescent="0.3">
      <c r="A571" s="5">
        <f t="shared" si="53"/>
        <v>561</v>
      </c>
    </row>
    <row r="572" spans="1:1" x14ac:dyDescent="0.3">
      <c r="A572" s="5">
        <f t="shared" si="53"/>
        <v>562</v>
      </c>
    </row>
    <row r="573" spans="1:1" x14ac:dyDescent="0.3">
      <c r="A573" s="5">
        <f t="shared" si="53"/>
        <v>563</v>
      </c>
    </row>
    <row r="574" spans="1:1" x14ac:dyDescent="0.3">
      <c r="A574" s="5">
        <f t="shared" si="53"/>
        <v>564</v>
      </c>
    </row>
    <row r="575" spans="1:1" x14ac:dyDescent="0.3">
      <c r="A575" s="5">
        <f t="shared" si="53"/>
        <v>565</v>
      </c>
    </row>
    <row r="576" spans="1:1" x14ac:dyDescent="0.3">
      <c r="A576" s="5">
        <f t="shared" si="53"/>
        <v>566</v>
      </c>
    </row>
    <row r="577" spans="1:1" x14ac:dyDescent="0.3">
      <c r="A577" s="5">
        <f t="shared" si="53"/>
        <v>567</v>
      </c>
    </row>
    <row r="578" spans="1:1" x14ac:dyDescent="0.3">
      <c r="A578" s="5">
        <f t="shared" si="53"/>
        <v>568</v>
      </c>
    </row>
    <row r="579" spans="1:1" x14ac:dyDescent="0.3">
      <c r="A579" s="5">
        <f t="shared" si="53"/>
        <v>569</v>
      </c>
    </row>
    <row r="580" spans="1:1" x14ac:dyDescent="0.3">
      <c r="A580" s="5">
        <f t="shared" si="53"/>
        <v>570</v>
      </c>
    </row>
    <row r="581" spans="1:1" x14ac:dyDescent="0.3">
      <c r="A581" s="5">
        <f t="shared" si="53"/>
        <v>571</v>
      </c>
    </row>
    <row r="582" spans="1:1" x14ac:dyDescent="0.3">
      <c r="A582" s="5">
        <f t="shared" si="53"/>
        <v>572</v>
      </c>
    </row>
    <row r="583" spans="1:1" x14ac:dyDescent="0.3">
      <c r="A583" s="5">
        <f t="shared" si="53"/>
        <v>573</v>
      </c>
    </row>
    <row r="584" spans="1:1" x14ac:dyDescent="0.3">
      <c r="A584" s="5">
        <f t="shared" si="53"/>
        <v>574</v>
      </c>
    </row>
    <row r="585" spans="1:1" x14ac:dyDescent="0.3">
      <c r="A585" s="5">
        <f t="shared" si="53"/>
        <v>575</v>
      </c>
    </row>
    <row r="586" spans="1:1" x14ac:dyDescent="0.3">
      <c r="A586" s="5">
        <f t="shared" si="53"/>
        <v>576</v>
      </c>
    </row>
    <row r="587" spans="1:1" x14ac:dyDescent="0.3">
      <c r="A587" s="5">
        <f t="shared" si="53"/>
        <v>577</v>
      </c>
    </row>
    <row r="588" spans="1:1" x14ac:dyDescent="0.3">
      <c r="A588" s="5">
        <f t="shared" si="53"/>
        <v>578</v>
      </c>
    </row>
    <row r="589" spans="1:1" x14ac:dyDescent="0.3">
      <c r="A589" s="5">
        <f t="shared" ref="A589:A618" si="54">A588+1</f>
        <v>579</v>
      </c>
    </row>
    <row r="590" spans="1:1" x14ac:dyDescent="0.3">
      <c r="A590" s="5">
        <f t="shared" si="54"/>
        <v>580</v>
      </c>
    </row>
    <row r="591" spans="1:1" x14ac:dyDescent="0.3">
      <c r="A591" s="5">
        <f t="shared" si="54"/>
        <v>581</v>
      </c>
    </row>
    <row r="592" spans="1:1" x14ac:dyDescent="0.3">
      <c r="A592" s="5">
        <f t="shared" si="54"/>
        <v>582</v>
      </c>
    </row>
    <row r="593" spans="1:1" x14ac:dyDescent="0.3">
      <c r="A593" s="5">
        <f t="shared" si="54"/>
        <v>583</v>
      </c>
    </row>
    <row r="594" spans="1:1" x14ac:dyDescent="0.3">
      <c r="A594" s="5">
        <f t="shared" si="54"/>
        <v>584</v>
      </c>
    </row>
    <row r="595" spans="1:1" x14ac:dyDescent="0.3">
      <c r="A595" s="5">
        <f t="shared" si="54"/>
        <v>585</v>
      </c>
    </row>
    <row r="596" spans="1:1" x14ac:dyDescent="0.3">
      <c r="A596" s="5">
        <f t="shared" si="54"/>
        <v>586</v>
      </c>
    </row>
    <row r="597" spans="1:1" x14ac:dyDescent="0.3">
      <c r="A597" s="5">
        <f t="shared" si="54"/>
        <v>587</v>
      </c>
    </row>
    <row r="598" spans="1:1" x14ac:dyDescent="0.3">
      <c r="A598" s="5">
        <f t="shared" si="54"/>
        <v>588</v>
      </c>
    </row>
    <row r="599" spans="1:1" x14ac:dyDescent="0.3">
      <c r="A599" s="5">
        <f t="shared" si="54"/>
        <v>589</v>
      </c>
    </row>
    <row r="600" spans="1:1" x14ac:dyDescent="0.3">
      <c r="A600" s="5">
        <f t="shared" si="54"/>
        <v>590</v>
      </c>
    </row>
    <row r="601" spans="1:1" x14ac:dyDescent="0.3">
      <c r="A601" s="5">
        <f t="shared" si="54"/>
        <v>591</v>
      </c>
    </row>
    <row r="602" spans="1:1" x14ac:dyDescent="0.3">
      <c r="A602" s="5">
        <f t="shared" si="54"/>
        <v>592</v>
      </c>
    </row>
    <row r="603" spans="1:1" x14ac:dyDescent="0.3">
      <c r="A603" s="5">
        <f t="shared" si="54"/>
        <v>593</v>
      </c>
    </row>
    <row r="604" spans="1:1" x14ac:dyDescent="0.3">
      <c r="A604" s="5">
        <f t="shared" si="54"/>
        <v>594</v>
      </c>
    </row>
    <row r="605" spans="1:1" x14ac:dyDescent="0.3">
      <c r="A605" s="5">
        <f t="shared" si="54"/>
        <v>595</v>
      </c>
    </row>
    <row r="606" spans="1:1" x14ac:dyDescent="0.3">
      <c r="A606" s="5">
        <f t="shared" si="54"/>
        <v>596</v>
      </c>
    </row>
    <row r="607" spans="1:1" x14ac:dyDescent="0.3">
      <c r="A607" s="5">
        <f t="shared" si="54"/>
        <v>597</v>
      </c>
    </row>
    <row r="608" spans="1:1" x14ac:dyDescent="0.3">
      <c r="A608" s="5">
        <f t="shared" si="54"/>
        <v>598</v>
      </c>
    </row>
    <row r="609" spans="1:1" x14ac:dyDescent="0.3">
      <c r="A609" s="5">
        <f t="shared" si="54"/>
        <v>599</v>
      </c>
    </row>
    <row r="610" spans="1:1" x14ac:dyDescent="0.3">
      <c r="A610" s="5">
        <f t="shared" si="54"/>
        <v>600</v>
      </c>
    </row>
    <row r="611" spans="1:1" x14ac:dyDescent="0.3">
      <c r="A611" s="5">
        <f t="shared" si="54"/>
        <v>601</v>
      </c>
    </row>
    <row r="612" spans="1:1" x14ac:dyDescent="0.3">
      <c r="A612" s="5">
        <f t="shared" si="54"/>
        <v>602</v>
      </c>
    </row>
    <row r="613" spans="1:1" x14ac:dyDescent="0.3">
      <c r="A613" s="5">
        <f t="shared" si="54"/>
        <v>603</v>
      </c>
    </row>
    <row r="614" spans="1:1" x14ac:dyDescent="0.3">
      <c r="A614" s="5">
        <f t="shared" si="54"/>
        <v>604</v>
      </c>
    </row>
    <row r="615" spans="1:1" x14ac:dyDescent="0.3">
      <c r="A615" s="5">
        <f t="shared" si="54"/>
        <v>605</v>
      </c>
    </row>
    <row r="616" spans="1:1" x14ac:dyDescent="0.3">
      <c r="A616" s="5">
        <f t="shared" si="54"/>
        <v>606</v>
      </c>
    </row>
    <row r="617" spans="1:1" x14ac:dyDescent="0.3">
      <c r="A617" s="5">
        <f t="shared" si="54"/>
        <v>607</v>
      </c>
    </row>
    <row r="618" spans="1:1" x14ac:dyDescent="0.3">
      <c r="A618" s="5">
        <f t="shared" si="54"/>
        <v>608</v>
      </c>
    </row>
  </sheetData>
  <autoFilter ref="B11:R618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ImportLoads">
                <anchor moveWithCells="1" sizeWithCells="1">
                  <from>
                    <xdr:col>4</xdr:col>
                    <xdr:colOff>95250</xdr:colOff>
                    <xdr:row>1</xdr:row>
                    <xdr:rowOff>419100</xdr:rowOff>
                  </from>
                  <to>
                    <xdr:col>4</xdr:col>
                    <xdr:colOff>2238375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hisWorkbook.ClearData">
                <anchor moveWithCells="1" sizeWithCells="1">
                  <from>
                    <xdr:col>5</xdr:col>
                    <xdr:colOff>95250</xdr:colOff>
                    <xdr:row>1</xdr:row>
                    <xdr:rowOff>428625</xdr:rowOff>
                  </from>
                  <to>
                    <xdr:col>5</xdr:col>
                    <xdr:colOff>1162050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LIST!$C$6:$C$28</xm:f>
          </x14:formula1>
          <xm:sqref>C4:D4</xm:sqref>
        </x14:dataValidation>
        <x14:dataValidation type="list" allowBlank="1" showInputMessage="1" showErrorMessage="1">
          <x14:formula1>
            <xm:f>Columns!$A$1:$GC$1</xm:f>
          </x14:formula1>
          <xm:sqref>B9:AC9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:Q31"/>
  <sheetViews>
    <sheetView topLeftCell="C10" workbookViewId="0">
      <selection activeCell="H22" sqref="H22"/>
    </sheetView>
  </sheetViews>
  <sheetFormatPr defaultRowHeight="15" x14ac:dyDescent="0.25"/>
  <cols>
    <col min="14" max="15" width="10.5703125" bestFit="1" customWidth="1"/>
  </cols>
  <sheetData>
    <row r="14" spans="7:16" x14ac:dyDescent="0.25">
      <c r="G14" t="s">
        <v>50</v>
      </c>
      <c r="H14" t="s">
        <v>51</v>
      </c>
    </row>
    <row r="15" spans="7:16" x14ac:dyDescent="0.25">
      <c r="G15" s="47">
        <v>26.4</v>
      </c>
      <c r="H15" s="47">
        <v>24.4</v>
      </c>
      <c r="J15" s="53">
        <f>(G15-H15)/G15</f>
        <v>7.575757575757576E-2</v>
      </c>
      <c r="N15" s="47" t="str">
        <f ca="1">IFERROR(IF(INDIRECT("raw!R"&amp;Analysis!$A12&amp;"C"&amp;Analysis!J$10,FALSE)&lt;&gt;"",INDIRECT("raw!R"&amp;Analysis!$A12&amp;"C"&amp;Analysis!J$10,FALSE),""),"")</f>
        <v/>
      </c>
      <c r="O15" s="52" t="e">
        <f ca="1">N15-$N$15</f>
        <v>#VALUE!</v>
      </c>
    </row>
    <row r="16" spans="7:16" x14ac:dyDescent="0.25">
      <c r="G16" s="47">
        <v>26.8</v>
      </c>
      <c r="H16" s="47">
        <v>24.7</v>
      </c>
      <c r="J16" s="53">
        <f t="shared" ref="J16:J29" si="0">(G16-H16)/G16</f>
        <v>7.8358208955223926E-2</v>
      </c>
      <c r="N16" s="47" t="str">
        <f ca="1">IFERROR(IF(INDIRECT("raw!R"&amp;Analysis!$A13&amp;"C"&amp;Analysis!J$10,FALSE)&lt;&gt;"",INDIRECT("raw!R"&amp;Analysis!$A13&amp;"C"&amp;Analysis!J$10,FALSE),""),"")</f>
        <v/>
      </c>
      <c r="O16" s="52" t="e">
        <f t="shared" ref="O16:O21" ca="1" si="1">N16-$N$15</f>
        <v>#VALUE!</v>
      </c>
      <c r="P16" s="52" t="e">
        <f t="shared" ref="P16:P21" ca="1" si="2">"$ "&amp;O16</f>
        <v>#VALUE!</v>
      </c>
    </row>
    <row r="17" spans="7:17" x14ac:dyDescent="0.25">
      <c r="G17" s="47">
        <v>28.2</v>
      </c>
      <c r="H17" s="47">
        <v>25.7</v>
      </c>
      <c r="J17" s="53">
        <f t="shared" si="0"/>
        <v>8.8652482269503549E-2</v>
      </c>
      <c r="N17" s="47" t="str">
        <f ca="1">IFERROR(IF(INDIRECT("raw!R"&amp;Analysis!$A14&amp;"C"&amp;Analysis!J$10,FALSE)&lt;&gt;"",INDIRECT("raw!R"&amp;Analysis!$A14&amp;"C"&amp;Analysis!J$10,FALSE),""),"")</f>
        <v/>
      </c>
      <c r="O17" s="52" t="e">
        <f t="shared" ca="1" si="1"/>
        <v>#VALUE!</v>
      </c>
      <c r="P17" s="52" t="e">
        <f t="shared" ca="1" si="2"/>
        <v>#VALUE!</v>
      </c>
    </row>
    <row r="18" spans="7:17" x14ac:dyDescent="0.25">
      <c r="G18" s="47">
        <v>29.1</v>
      </c>
      <c r="H18" s="47">
        <v>26.4</v>
      </c>
      <c r="J18" s="53">
        <f t="shared" si="0"/>
        <v>9.2783505154639262E-2</v>
      </c>
      <c r="N18" s="47" t="str">
        <f ca="1">IFERROR(IF(INDIRECT("raw!R"&amp;Analysis!$A15&amp;"C"&amp;Analysis!J$10,FALSE)&lt;&gt;"",INDIRECT("raw!R"&amp;Analysis!$A15&amp;"C"&amp;Analysis!J$10,FALSE),""),"")</f>
        <v/>
      </c>
      <c r="O18" s="52" t="e">
        <f t="shared" ca="1" si="1"/>
        <v>#VALUE!</v>
      </c>
      <c r="P18" s="52" t="e">
        <f t="shared" ca="1" si="2"/>
        <v>#VALUE!</v>
      </c>
    </row>
    <row r="19" spans="7:17" x14ac:dyDescent="0.25">
      <c r="G19" s="47">
        <v>30.5</v>
      </c>
      <c r="H19" s="47">
        <v>27.5</v>
      </c>
      <c r="J19" s="53">
        <f t="shared" si="0"/>
        <v>9.8360655737704916E-2</v>
      </c>
      <c r="N19" s="47" t="str">
        <f ca="1">IFERROR(IF(INDIRECT("raw!R"&amp;Analysis!$A16&amp;"C"&amp;Analysis!J$10,FALSE)&lt;&gt;"",INDIRECT("raw!R"&amp;Analysis!$A16&amp;"C"&amp;Analysis!J$10,FALSE),""),"")</f>
        <v/>
      </c>
      <c r="O19" s="52" t="e">
        <f t="shared" ca="1" si="1"/>
        <v>#VALUE!</v>
      </c>
      <c r="P19" s="52" t="e">
        <f t="shared" ca="1" si="2"/>
        <v>#VALUE!</v>
      </c>
    </row>
    <row r="20" spans="7:17" x14ac:dyDescent="0.25">
      <c r="G20" s="47">
        <v>30.4</v>
      </c>
      <c r="H20" s="47">
        <v>27.3</v>
      </c>
      <c r="J20" s="53">
        <f t="shared" si="0"/>
        <v>0.10197368421052624</v>
      </c>
      <c r="N20" s="47" t="str">
        <f ca="1">IFERROR(IF(INDIRECT("raw!R"&amp;Analysis!$A17&amp;"C"&amp;Analysis!J$10,FALSE)&lt;&gt;"",INDIRECT("raw!R"&amp;Analysis!$A17&amp;"C"&amp;Analysis!J$10,FALSE),""),"")</f>
        <v/>
      </c>
      <c r="O20" s="52" t="e">
        <f t="shared" ca="1" si="1"/>
        <v>#VALUE!</v>
      </c>
      <c r="P20" s="52" t="e">
        <f t="shared" ca="1" si="2"/>
        <v>#VALUE!</v>
      </c>
    </row>
    <row r="21" spans="7:17" x14ac:dyDescent="0.25">
      <c r="J21" s="53" t="e">
        <f t="shared" si="0"/>
        <v>#DIV/0!</v>
      </c>
      <c r="N21" s="47" t="str">
        <f ca="1">IFERROR(IF(INDIRECT("raw!R"&amp;Analysis!$A18&amp;"C"&amp;Analysis!J$10,FALSE)&lt;&gt;"",INDIRECT("raw!R"&amp;Analysis!$A18&amp;"C"&amp;Analysis!J$10,FALSE),""),"")</f>
        <v/>
      </c>
      <c r="O21" s="52" t="e">
        <f t="shared" ca="1" si="1"/>
        <v>#VALUE!</v>
      </c>
      <c r="P21" s="52" t="e">
        <f t="shared" ca="1" si="2"/>
        <v>#VALUE!</v>
      </c>
    </row>
    <row r="22" spans="7:17" x14ac:dyDescent="0.25">
      <c r="J22" s="53" t="e">
        <f t="shared" si="0"/>
        <v>#DIV/0!</v>
      </c>
    </row>
    <row r="23" spans="7:17" x14ac:dyDescent="0.25">
      <c r="J23" s="53" t="e">
        <f t="shared" si="0"/>
        <v>#DIV/0!</v>
      </c>
    </row>
    <row r="24" spans="7:17" x14ac:dyDescent="0.25">
      <c r="J24" s="53" t="e">
        <f t="shared" si="0"/>
        <v>#DIV/0!</v>
      </c>
    </row>
    <row r="25" spans="7:17" x14ac:dyDescent="0.25">
      <c r="J25" s="53" t="e">
        <f t="shared" si="0"/>
        <v>#DIV/0!</v>
      </c>
      <c r="N25">
        <v>66.400000000000006</v>
      </c>
      <c r="O25">
        <f>$N$25-N25</f>
        <v>0</v>
      </c>
    </row>
    <row r="26" spans="7:17" x14ac:dyDescent="0.25">
      <c r="J26" s="53" t="e">
        <f t="shared" si="0"/>
        <v>#DIV/0!</v>
      </c>
      <c r="N26">
        <v>62.5</v>
      </c>
      <c r="O26">
        <f t="shared" ref="O26:O31" si="3">$N$25-N26</f>
        <v>3.9000000000000057</v>
      </c>
      <c r="Q26" s="52" t="e">
        <f t="shared" ref="Q26:Q31" ca="1" si="4">"$ "&amp;ROUND(O16/O26,2)&amp;" / GJ"</f>
        <v>#VALUE!</v>
      </c>
    </row>
    <row r="27" spans="7:17" x14ac:dyDescent="0.25">
      <c r="J27" s="53" t="e">
        <f t="shared" si="0"/>
        <v>#DIV/0!</v>
      </c>
      <c r="N27">
        <v>60.7</v>
      </c>
      <c r="O27">
        <f t="shared" si="3"/>
        <v>5.7000000000000028</v>
      </c>
      <c r="Q27" s="52" t="e">
        <f t="shared" ca="1" si="4"/>
        <v>#VALUE!</v>
      </c>
    </row>
    <row r="28" spans="7:17" x14ac:dyDescent="0.25">
      <c r="J28" s="53" t="e">
        <f t="shared" si="0"/>
        <v>#DIV/0!</v>
      </c>
      <c r="N28">
        <v>59.2</v>
      </c>
      <c r="O28">
        <f t="shared" si="3"/>
        <v>7.2000000000000028</v>
      </c>
      <c r="Q28" s="52" t="e">
        <f t="shared" ca="1" si="4"/>
        <v>#VALUE!</v>
      </c>
    </row>
    <row r="29" spans="7:17" x14ac:dyDescent="0.25">
      <c r="J29" s="53" t="e">
        <f t="shared" si="0"/>
        <v>#DIV/0!</v>
      </c>
      <c r="N29">
        <v>56.8</v>
      </c>
      <c r="O29">
        <f t="shared" si="3"/>
        <v>9.6000000000000085</v>
      </c>
      <c r="Q29" s="52" t="e">
        <f t="shared" ca="1" si="4"/>
        <v>#VALUE!</v>
      </c>
    </row>
    <row r="30" spans="7:17" x14ac:dyDescent="0.25">
      <c r="N30">
        <v>55.4</v>
      </c>
      <c r="O30">
        <f t="shared" si="3"/>
        <v>11.000000000000007</v>
      </c>
      <c r="Q30" s="52" t="e">
        <f t="shared" ca="1" si="4"/>
        <v>#VALUE!</v>
      </c>
    </row>
    <row r="31" spans="7:17" x14ac:dyDescent="0.25">
      <c r="N31">
        <v>51.2</v>
      </c>
      <c r="O31">
        <f t="shared" si="3"/>
        <v>15.200000000000003</v>
      </c>
      <c r="Q31" s="52" t="e">
        <f t="shared" ca="1" si="4"/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C1"/>
  <sheetViews>
    <sheetView topLeftCell="FA1" workbookViewId="0">
      <selection activeCell="FN1" sqref="FN1"/>
    </sheetView>
  </sheetViews>
  <sheetFormatPr defaultRowHeight="15" x14ac:dyDescent="0.25"/>
  <cols>
    <col min="1" max="1" width="35.5703125" bestFit="1" customWidth="1"/>
  </cols>
  <sheetData>
    <row r="1" spans="1:185" x14ac:dyDescent="0.25">
      <c r="A1" t="str">
        <f>SUBSTITUTE(SUBSTITUTE(raw!A1,"_"," "),"|",": ")</f>
        <v/>
      </c>
      <c r="B1" t="str">
        <f>SUBSTITUTE(SUBSTITUTE(raw!B1,"_"," "),"|",": ")</f>
        <v/>
      </c>
      <c r="C1" t="str">
        <f>SUBSTITUTE(SUBSTITUTE(raw!C1,"_"," "),"|",": ")</f>
        <v/>
      </c>
      <c r="D1" t="str">
        <f>SUBSTITUTE(SUBSTITUTE(raw!D1,"_"," "),"|",": ")</f>
        <v/>
      </c>
      <c r="E1" t="str">
        <f>SUBSTITUTE(SUBSTITUTE(raw!E1,"_"," "),"|",": ")</f>
        <v/>
      </c>
      <c r="F1" t="str">
        <f>SUBSTITUTE(SUBSTITUTE(raw!F1,"_"," "),"|",": ")</f>
        <v/>
      </c>
      <c r="G1" t="str">
        <f>SUBSTITUTE(SUBSTITUTE(raw!G1,"_"," "),"|",": ")</f>
        <v/>
      </c>
      <c r="H1" t="str">
        <f>SUBSTITUTE(SUBSTITUTE(raw!H1,"_"," "),"|",": ")</f>
        <v/>
      </c>
      <c r="I1" t="str">
        <f>SUBSTITUTE(SUBSTITUTE(raw!I1,"_"," "),"|",": ")</f>
        <v/>
      </c>
      <c r="J1" t="str">
        <f>SUBSTITUTE(SUBSTITUTE(raw!J1,"_"," "),"|",": ")</f>
        <v/>
      </c>
      <c r="K1" t="str">
        <f>SUBSTITUTE(SUBSTITUTE(raw!K1,"_"," "),"|",": ")</f>
        <v/>
      </c>
      <c r="L1" t="str">
        <f>SUBSTITUTE(SUBSTITUTE(raw!L1,"_"," "),"|",": ")</f>
        <v/>
      </c>
      <c r="M1" t="str">
        <f>SUBSTITUTE(SUBSTITUTE(raw!M1,"_"," "),"|",": ")</f>
        <v/>
      </c>
      <c r="N1" t="str">
        <f>SUBSTITUTE(SUBSTITUTE(raw!N1,"_"," "),"|",": ")</f>
        <v/>
      </c>
      <c r="O1" t="str">
        <f>SUBSTITUTE(SUBSTITUTE(raw!O1,"_"," "),"|",": ")</f>
        <v/>
      </c>
      <c r="P1" t="str">
        <f>SUBSTITUTE(SUBSTITUTE(raw!P1,"_"," "),"|",": ")</f>
        <v/>
      </c>
      <c r="Q1" t="str">
        <f>SUBSTITUTE(SUBSTITUTE(raw!Q1,"_"," "),"|",": ")</f>
        <v/>
      </c>
      <c r="R1" t="str">
        <f>SUBSTITUTE(SUBSTITUTE(raw!R1,"_"," "),"|",": ")</f>
        <v/>
      </c>
      <c r="S1" t="str">
        <f>SUBSTITUTE(SUBSTITUTE(raw!S1,"_"," "),"|",": ")</f>
        <v/>
      </c>
      <c r="T1" t="str">
        <f>SUBSTITUTE(SUBSTITUTE(raw!T1,"_"," "),"|",": ")</f>
        <v/>
      </c>
      <c r="U1" t="str">
        <f>SUBSTITUTE(SUBSTITUTE(raw!U1,"_"," "),"|",": ")</f>
        <v/>
      </c>
      <c r="V1" t="str">
        <f>SUBSTITUTE(SUBSTITUTE(raw!V1,"_"," "),"|",": ")</f>
        <v/>
      </c>
      <c r="W1" t="str">
        <f>SUBSTITUTE(SUBSTITUTE(raw!W1,"_"," "),"|",": ")</f>
        <v/>
      </c>
      <c r="X1" t="str">
        <f>SUBSTITUTE(SUBSTITUTE(raw!X1,"_"," "),"|",": ")</f>
        <v/>
      </c>
      <c r="Y1" t="str">
        <f>SUBSTITUTE(SUBSTITUTE(raw!Y1,"_"," "),"|",": ")</f>
        <v/>
      </c>
      <c r="Z1" t="str">
        <f>SUBSTITUTE(SUBSTITUTE(raw!Z1,"_"," "),"|",": ")</f>
        <v/>
      </c>
      <c r="AA1" t="str">
        <f>SUBSTITUTE(SUBSTITUTE(raw!AA1,"_"," "),"|",": ")</f>
        <v/>
      </c>
      <c r="AB1" t="str">
        <f>SUBSTITUTE(SUBSTITUTE(raw!AB1,"_"," "),"|",": ")</f>
        <v/>
      </c>
      <c r="AC1" t="str">
        <f>SUBSTITUTE(SUBSTITUTE(raw!AC1,"_"," "),"|",": ")</f>
        <v/>
      </c>
      <c r="AD1" t="str">
        <f>SUBSTITUTE(SUBSTITUTE(raw!AD1,"_"," "),"|",": ")</f>
        <v/>
      </c>
      <c r="AE1" t="str">
        <f>SUBSTITUTE(SUBSTITUTE(raw!AE1,"_"," "),"|",": ")</f>
        <v/>
      </c>
      <c r="AF1" t="str">
        <f>SUBSTITUTE(SUBSTITUTE(raw!AF1,"_"," "),"|",": ")</f>
        <v/>
      </c>
      <c r="AG1" t="str">
        <f>SUBSTITUTE(SUBSTITUTE(raw!AG1,"_"," "),"|",": ")</f>
        <v/>
      </c>
      <c r="AH1" t="str">
        <f>SUBSTITUTE(SUBSTITUTE(raw!AH1,"_"," "),"|",": ")</f>
        <v/>
      </c>
      <c r="AI1" t="str">
        <f>SUBSTITUTE(SUBSTITUTE(raw!AI1,"_"," "),"|",": ")</f>
        <v/>
      </c>
      <c r="AJ1" t="str">
        <f>SUBSTITUTE(SUBSTITUTE(raw!AJ1,"_"," "),"|",": ")</f>
        <v/>
      </c>
      <c r="AK1" t="str">
        <f>SUBSTITUTE(SUBSTITUTE(raw!AK1,"_"," "),"|",": ")</f>
        <v/>
      </c>
      <c r="AL1" t="str">
        <f>SUBSTITUTE(SUBSTITUTE(raw!AL1,"_"," "),"|",": ")</f>
        <v/>
      </c>
      <c r="AM1" t="str">
        <f>SUBSTITUTE(SUBSTITUTE(raw!AM1,"_"," "),"|",": ")</f>
        <v/>
      </c>
      <c r="AN1" t="str">
        <f>SUBSTITUTE(SUBSTITUTE(raw!AN1,"_"," "),"|",": ")</f>
        <v/>
      </c>
      <c r="AO1" t="str">
        <f>SUBSTITUTE(SUBSTITUTE(raw!AO1,"_"," "),"|",": ")</f>
        <v/>
      </c>
      <c r="AP1" t="str">
        <f>SUBSTITUTE(SUBSTITUTE(raw!AP1,"_"," "),"|",": ")</f>
        <v/>
      </c>
      <c r="AQ1" t="str">
        <f>SUBSTITUTE(SUBSTITUTE(raw!AQ1,"_"," "),"|",": ")</f>
        <v/>
      </c>
      <c r="AR1" t="str">
        <f>SUBSTITUTE(SUBSTITUTE(raw!AR1,"_"," "),"|",": ")</f>
        <v/>
      </c>
      <c r="AS1" t="str">
        <f>SUBSTITUTE(SUBSTITUTE(raw!AS1,"_"," "),"|",": ")</f>
        <v/>
      </c>
      <c r="AT1" t="str">
        <f>SUBSTITUTE(SUBSTITUTE(raw!AT1,"_"," "),"|",": ")</f>
        <v/>
      </c>
      <c r="AU1" t="str">
        <f>SUBSTITUTE(SUBSTITUTE(raw!AU1,"_"," "),"|",": ")</f>
        <v/>
      </c>
      <c r="AV1" t="str">
        <f>SUBSTITUTE(SUBSTITUTE(raw!AV1,"_"," "),"|",": ")</f>
        <v/>
      </c>
      <c r="AW1" t="str">
        <f>SUBSTITUTE(SUBSTITUTE(raw!AW1,"_"," "),"|",": ")</f>
        <v/>
      </c>
      <c r="AX1" t="str">
        <f>SUBSTITUTE(SUBSTITUTE(raw!AX1,"_"," "),"|",": ")</f>
        <v/>
      </c>
      <c r="AY1" t="str">
        <f>SUBSTITUTE(SUBSTITUTE(raw!AY1,"_"," "),"|",": ")</f>
        <v/>
      </c>
      <c r="AZ1" t="str">
        <f>SUBSTITUTE(SUBSTITUTE(raw!AZ1,"_"," "),"|",": ")</f>
        <v/>
      </c>
      <c r="BA1" t="str">
        <f>SUBSTITUTE(SUBSTITUTE(raw!BA1,"_"," "),"|",": ")</f>
        <v/>
      </c>
      <c r="BB1" t="str">
        <f>SUBSTITUTE(SUBSTITUTE(raw!BB1,"_"," "),"|",": ")</f>
        <v/>
      </c>
      <c r="BC1" t="str">
        <f>SUBSTITUTE(SUBSTITUTE(raw!BC1,"_"," "),"|",": ")</f>
        <v/>
      </c>
      <c r="BD1" t="str">
        <f>SUBSTITUTE(SUBSTITUTE(raw!BD1,"_"," "),"|",": ")</f>
        <v/>
      </c>
      <c r="BE1" t="str">
        <f>SUBSTITUTE(SUBSTITUTE(raw!BE1,"_"," "),"|",": ")</f>
        <v/>
      </c>
      <c r="BF1" t="str">
        <f>SUBSTITUTE(SUBSTITUTE(raw!BF1,"_"," "),"|",": ")</f>
        <v/>
      </c>
      <c r="BG1" t="str">
        <f>SUBSTITUTE(SUBSTITUTE(raw!BG1,"_"," "),"|",": ")</f>
        <v/>
      </c>
      <c r="BH1" t="str">
        <f>SUBSTITUTE(SUBSTITUTE(raw!BH1,"_"," "),"|",": ")</f>
        <v/>
      </c>
      <c r="BI1" t="str">
        <f>SUBSTITUTE(SUBSTITUTE(raw!BI1,"_"," "),"|",": ")</f>
        <v/>
      </c>
      <c r="BJ1" t="str">
        <f>SUBSTITUTE(SUBSTITUTE(raw!BJ1,"_"," "),"|",": ")</f>
        <v/>
      </c>
      <c r="BK1" t="str">
        <f>SUBSTITUTE(SUBSTITUTE(raw!BK1,"_"," "),"|",": ")</f>
        <v/>
      </c>
      <c r="BL1" t="str">
        <f>SUBSTITUTE(SUBSTITUTE(raw!BL1,"_"," "),"|",": ")</f>
        <v/>
      </c>
      <c r="BM1" t="str">
        <f>SUBSTITUTE(SUBSTITUTE(raw!BM1,"_"," "),"|",": ")</f>
        <v/>
      </c>
      <c r="BN1" t="str">
        <f>SUBSTITUTE(SUBSTITUTE(raw!BN1,"_"," "),"|",": ")</f>
        <v/>
      </c>
      <c r="BO1" t="str">
        <f>SUBSTITUTE(SUBSTITUTE(raw!BO1,"_"," "),"|",": ")</f>
        <v/>
      </c>
      <c r="BP1" t="str">
        <f>SUBSTITUTE(SUBSTITUTE(raw!BP1,"_"," "),"|",": ")</f>
        <v/>
      </c>
      <c r="BQ1" t="str">
        <f>SUBSTITUTE(SUBSTITUTE(raw!BQ1,"_"," "),"|",": ")</f>
        <v/>
      </c>
      <c r="BR1" t="str">
        <f>SUBSTITUTE(SUBSTITUTE(raw!BR1,"_"," "),"|",": ")</f>
        <v/>
      </c>
      <c r="BS1" t="str">
        <f>SUBSTITUTE(SUBSTITUTE(raw!BS1,"_"," "),"|",": ")</f>
        <v/>
      </c>
      <c r="BT1" t="str">
        <f>SUBSTITUTE(SUBSTITUTE(raw!BT1,"_"," "),"|",": ")</f>
        <v/>
      </c>
      <c r="BU1" t="str">
        <f>SUBSTITUTE(SUBSTITUTE(raw!BU1,"_"," "),"|",": ")</f>
        <v/>
      </c>
      <c r="BV1" t="str">
        <f>SUBSTITUTE(SUBSTITUTE(raw!BV1,"_"," "),"|",": ")</f>
        <v/>
      </c>
      <c r="BW1" t="str">
        <f>SUBSTITUTE(SUBSTITUTE(raw!BW1,"_"," "),"|",": ")</f>
        <v/>
      </c>
      <c r="BX1" t="str">
        <f>SUBSTITUTE(SUBSTITUTE(raw!BX1,"_"," "),"|",": ")</f>
        <v/>
      </c>
      <c r="BY1" t="str">
        <f>SUBSTITUTE(SUBSTITUTE(raw!BY1,"_"," "),"|",": ")</f>
        <v/>
      </c>
      <c r="BZ1" t="str">
        <f>SUBSTITUTE(SUBSTITUTE(raw!BZ1,"_"," "),"|",": ")</f>
        <v/>
      </c>
      <c r="CA1" t="str">
        <f>SUBSTITUTE(SUBSTITUTE(raw!CA1,"_"," "),"|",": ")</f>
        <v/>
      </c>
      <c r="CB1" t="str">
        <f>SUBSTITUTE(SUBSTITUTE(raw!CB1,"_"," "),"|",": ")</f>
        <v/>
      </c>
      <c r="CC1" t="str">
        <f>SUBSTITUTE(SUBSTITUTE(raw!CC1,"_"," "),"|",": ")</f>
        <v/>
      </c>
      <c r="CD1" t="str">
        <f>SUBSTITUTE(SUBSTITUTE(raw!CD1,"_"," "),"|",": ")</f>
        <v/>
      </c>
      <c r="CE1" t="str">
        <f>SUBSTITUTE(SUBSTITUTE(raw!CE1,"_"," "),"|",": ")</f>
        <v/>
      </c>
      <c r="CF1" t="str">
        <f>SUBSTITUTE(SUBSTITUTE(raw!CF1,"_"," "),"|",": ")</f>
        <v/>
      </c>
      <c r="CG1" t="str">
        <f>SUBSTITUTE(SUBSTITUTE(raw!CG1,"_"," "),"|",": ")</f>
        <v/>
      </c>
      <c r="CH1" t="str">
        <f>SUBSTITUTE(SUBSTITUTE(raw!CH1,"_"," "),"|",": ")</f>
        <v/>
      </c>
      <c r="CI1" t="str">
        <f>SUBSTITUTE(SUBSTITUTE(raw!CI1,"_"," "),"|",": ")</f>
        <v/>
      </c>
      <c r="CJ1" t="str">
        <f>SUBSTITUTE(SUBSTITUTE(raw!CJ1,"_"," "),"|",": ")</f>
        <v/>
      </c>
      <c r="CK1" t="str">
        <f>SUBSTITUTE(SUBSTITUTE(raw!CK1,"_"," "),"|",": ")</f>
        <v/>
      </c>
      <c r="CL1" t="str">
        <f>SUBSTITUTE(SUBSTITUTE(raw!CL1,"_"," "),"|",": ")</f>
        <v/>
      </c>
      <c r="CM1" t="str">
        <f>SUBSTITUTE(SUBSTITUTE(raw!CM1,"_"," "),"|",": ")</f>
        <v/>
      </c>
      <c r="CN1" t="str">
        <f>SUBSTITUTE(SUBSTITUTE(raw!CN1,"_"," "),"|",": ")</f>
        <v/>
      </c>
      <c r="CO1" t="str">
        <f>SUBSTITUTE(SUBSTITUTE(raw!CO1,"_"," "),"|",": ")</f>
        <v/>
      </c>
      <c r="CP1" t="str">
        <f>SUBSTITUTE(SUBSTITUTE(raw!CP1,"_"," "),"|",": ")</f>
        <v/>
      </c>
      <c r="CQ1" t="str">
        <f>SUBSTITUTE(SUBSTITUTE(raw!CQ1,"_"," "),"|",": ")</f>
        <v/>
      </c>
      <c r="CR1" t="str">
        <f>SUBSTITUTE(SUBSTITUTE(raw!CR1,"_"," "),"|",": ")</f>
        <v/>
      </c>
      <c r="CS1" t="str">
        <f>SUBSTITUTE(SUBSTITUTE(raw!CS1,"_"," "),"|",": ")</f>
        <v/>
      </c>
      <c r="CT1" t="str">
        <f>SUBSTITUTE(SUBSTITUTE(raw!CT1,"_"," "),"|",": ")</f>
        <v/>
      </c>
      <c r="CU1" t="str">
        <f>SUBSTITUTE(SUBSTITUTE(raw!CU1,"_"," "),"|",": ")</f>
        <v/>
      </c>
      <c r="CV1" t="str">
        <f>SUBSTITUTE(SUBSTITUTE(raw!CV1,"_"," "),"|",": ")</f>
        <v/>
      </c>
      <c r="CW1" t="str">
        <f>SUBSTITUTE(SUBSTITUTE(raw!CW1,"_"," "),"|",": ")</f>
        <v/>
      </c>
      <c r="CX1" t="str">
        <f>SUBSTITUTE(SUBSTITUTE(raw!CX1,"_"," "),"|",": ")</f>
        <v/>
      </c>
      <c r="CY1" t="str">
        <f>SUBSTITUTE(SUBSTITUTE(raw!CY1,"_"," "),"|",": ")</f>
        <v/>
      </c>
      <c r="CZ1" t="str">
        <f>SUBSTITUTE(SUBSTITUTE(raw!CZ1,"_"," "),"|",": ")</f>
        <v/>
      </c>
      <c r="DA1" t="str">
        <f>SUBSTITUTE(SUBSTITUTE(raw!DA1,"_"," "),"|",": ")</f>
        <v/>
      </c>
      <c r="DB1" t="str">
        <f>SUBSTITUTE(SUBSTITUTE(raw!DB1,"_"," "),"|",": ")</f>
        <v/>
      </c>
      <c r="DC1" t="str">
        <f>SUBSTITUTE(SUBSTITUTE(raw!DC1,"_"," "),"|",": ")</f>
        <v/>
      </c>
      <c r="DD1" t="str">
        <f>SUBSTITUTE(SUBSTITUTE(raw!DD1,"_"," "),"|",": ")</f>
        <v/>
      </c>
      <c r="DE1" t="str">
        <f>SUBSTITUTE(SUBSTITUTE(raw!DE1,"_"," "),"|",": ")</f>
        <v/>
      </c>
      <c r="DF1" t="str">
        <f>SUBSTITUTE(SUBSTITUTE(raw!DF1,"_"," "),"|",": ")</f>
        <v/>
      </c>
      <c r="DG1" t="str">
        <f>SUBSTITUTE(SUBSTITUTE(raw!DG1,"_"," "),"|",": ")</f>
        <v/>
      </c>
      <c r="DH1" t="str">
        <f>SUBSTITUTE(SUBSTITUTE(raw!DH1,"_"," "),"|",": ")</f>
        <v/>
      </c>
      <c r="DI1" t="str">
        <f>SUBSTITUTE(SUBSTITUTE(raw!DI1,"_"," "),"|",": ")</f>
        <v/>
      </c>
      <c r="DJ1" t="str">
        <f>SUBSTITUTE(SUBSTITUTE(raw!DJ1,"_"," "),"|",": ")</f>
        <v/>
      </c>
      <c r="DK1" t="str">
        <f>SUBSTITUTE(SUBSTITUTE(raw!DK1,"_"," "),"|",": ")</f>
        <v/>
      </c>
      <c r="DL1" t="str">
        <f>SUBSTITUTE(SUBSTITUTE(raw!DL1,"_"," "),"|",": ")</f>
        <v/>
      </c>
      <c r="DM1" t="str">
        <f>SUBSTITUTE(SUBSTITUTE(raw!DM1,"_"," "),"|",": ")</f>
        <v/>
      </c>
      <c r="DN1" t="str">
        <f>SUBSTITUTE(SUBSTITUTE(raw!DN1,"_"," "),"|",": ")</f>
        <v/>
      </c>
      <c r="DO1" t="str">
        <f>SUBSTITUTE(SUBSTITUTE(raw!DO1,"_"," "),"|",": ")</f>
        <v/>
      </c>
      <c r="DP1" t="str">
        <f>SUBSTITUTE(SUBSTITUTE(raw!DP1,"_"," "),"|",": ")</f>
        <v/>
      </c>
      <c r="DQ1" t="str">
        <f>SUBSTITUTE(SUBSTITUTE(raw!DQ1,"_"," "),"|",": ")</f>
        <v/>
      </c>
      <c r="DR1" t="str">
        <f>SUBSTITUTE(SUBSTITUTE(raw!DR1,"_"," "),"|",": ")</f>
        <v/>
      </c>
      <c r="DS1" t="str">
        <f>SUBSTITUTE(SUBSTITUTE(raw!DS1,"_"," "),"|",": ")</f>
        <v/>
      </c>
      <c r="DT1" t="str">
        <f>SUBSTITUTE(SUBSTITUTE(raw!DT1,"_"," "),"|",": ")</f>
        <v/>
      </c>
      <c r="DU1" t="str">
        <f>SUBSTITUTE(SUBSTITUTE(raw!DU1,"_"," "),"|",": ")</f>
        <v/>
      </c>
      <c r="DV1" t="str">
        <f>SUBSTITUTE(SUBSTITUTE(raw!DV1,"_"," "),"|",": ")</f>
        <v/>
      </c>
      <c r="DW1" t="str">
        <f>SUBSTITUTE(SUBSTITUTE(raw!DW1,"_"," "),"|",": ")</f>
        <v/>
      </c>
      <c r="DX1" t="str">
        <f>SUBSTITUTE(SUBSTITUTE(raw!DX1,"_"," "),"|",": ")</f>
        <v/>
      </c>
      <c r="DY1" t="str">
        <f>SUBSTITUTE(SUBSTITUTE(raw!DY1,"_"," "),"|",": ")</f>
        <v/>
      </c>
      <c r="DZ1" t="str">
        <f>SUBSTITUTE(SUBSTITUTE(raw!DZ1,"_"," "),"|",": ")</f>
        <v/>
      </c>
      <c r="EA1" t="str">
        <f>SUBSTITUTE(SUBSTITUTE(raw!EA1,"_"," "),"|",": ")</f>
        <v/>
      </c>
      <c r="EB1" t="str">
        <f>SUBSTITUTE(SUBSTITUTE(raw!EB1,"_"," "),"|",": ")</f>
        <v/>
      </c>
      <c r="EC1" t="str">
        <f>SUBSTITUTE(SUBSTITUTE(raw!EC1,"_"," "),"|",": ")</f>
        <v/>
      </c>
      <c r="ED1" t="str">
        <f>SUBSTITUTE(SUBSTITUTE(raw!ED1,"_"," "),"|",": ")</f>
        <v/>
      </c>
      <c r="EE1" t="str">
        <f>SUBSTITUTE(SUBSTITUTE(raw!EE1,"_"," "),"|",": ")</f>
        <v/>
      </c>
      <c r="EF1" t="str">
        <f>SUBSTITUTE(SUBSTITUTE(raw!EF1,"_"," "),"|",": ")</f>
        <v/>
      </c>
      <c r="EG1" t="str">
        <f>SUBSTITUTE(SUBSTITUTE(raw!EG1,"_"," "),"|",": ")</f>
        <v/>
      </c>
      <c r="EH1" t="str">
        <f>SUBSTITUTE(SUBSTITUTE(raw!EH1,"_"," "),"|",": ")</f>
        <v/>
      </c>
      <c r="EI1" t="str">
        <f>SUBSTITUTE(SUBSTITUTE(raw!EI1,"_"," "),"|",": ")</f>
        <v/>
      </c>
      <c r="EJ1" t="str">
        <f>SUBSTITUTE(SUBSTITUTE(raw!EJ1,"_"," "),"|",": ")</f>
        <v/>
      </c>
      <c r="EK1" t="str">
        <f>SUBSTITUTE(SUBSTITUTE(raw!EK1,"_"," "),"|",": ")</f>
        <v/>
      </c>
      <c r="EL1" t="str">
        <f>SUBSTITUTE(SUBSTITUTE(raw!EL1,"_"," "),"|",": ")</f>
        <v/>
      </c>
      <c r="EM1" t="str">
        <f>SUBSTITUTE(SUBSTITUTE(raw!EM1,"_"," "),"|",": ")</f>
        <v/>
      </c>
      <c r="EN1" t="str">
        <f>SUBSTITUTE(SUBSTITUTE(raw!EN1,"_"," "),"|",": ")</f>
        <v/>
      </c>
      <c r="EO1" t="str">
        <f>SUBSTITUTE(SUBSTITUTE(raw!EO1,"_"," "),"|",": ")</f>
        <v/>
      </c>
      <c r="EP1" t="str">
        <f>SUBSTITUTE(SUBSTITUTE(raw!EP1,"_"," "),"|",": ")</f>
        <v/>
      </c>
      <c r="EQ1" t="str">
        <f>SUBSTITUTE(SUBSTITUTE(raw!EQ1,"_"," "),"|",": ")</f>
        <v/>
      </c>
      <c r="ER1" t="str">
        <f>SUBSTITUTE(SUBSTITUTE(raw!ER1,"_"," "),"|",": ")</f>
        <v/>
      </c>
      <c r="ES1" t="str">
        <f>SUBSTITUTE(SUBSTITUTE(raw!ES1,"_"," "),"|",": ")</f>
        <v/>
      </c>
      <c r="ET1" t="str">
        <f>SUBSTITUTE(SUBSTITUTE(raw!ET1,"_"," "),"|",": ")</f>
        <v/>
      </c>
      <c r="EU1" t="str">
        <f>SUBSTITUTE(SUBSTITUTE(raw!EU1,"_"," "),"|",": ")</f>
        <v/>
      </c>
      <c r="EV1" t="str">
        <f>SUBSTITUTE(SUBSTITUTE(raw!EV1,"_"," "),"|",": ")</f>
        <v/>
      </c>
      <c r="EW1" t="str">
        <f>SUBSTITUTE(SUBSTITUTE(raw!EW1,"_"," "),"|",": ")</f>
        <v/>
      </c>
      <c r="EX1" t="str">
        <f>SUBSTITUTE(SUBSTITUTE(raw!EX1,"_"," "),"|",": ")</f>
        <v/>
      </c>
      <c r="EY1" t="str">
        <f>SUBSTITUTE(SUBSTITUTE(raw!EY1,"_"," "),"|",": ")</f>
        <v/>
      </c>
      <c r="EZ1" t="str">
        <f>SUBSTITUTE(SUBSTITUTE(raw!EZ1,"_"," "),"|",": ")</f>
        <v/>
      </c>
      <c r="FA1" t="str">
        <f>SUBSTITUTE(SUBSTITUTE(raw!FA1,"_"," "),"|",": ")</f>
        <v/>
      </c>
      <c r="FB1" t="str">
        <f>SUBSTITUTE(SUBSTITUTE(raw!FB1,"_"," "),"|",": ")</f>
        <v/>
      </c>
      <c r="FC1" t="str">
        <f>SUBSTITUTE(SUBSTITUTE(raw!FC1,"_"," "),"|",": ")</f>
        <v/>
      </c>
      <c r="FD1" t="str">
        <f>SUBSTITUTE(SUBSTITUTE(raw!FD1,"_"," "),"|",": ")</f>
        <v/>
      </c>
      <c r="FE1" t="str">
        <f>SUBSTITUTE(SUBSTITUTE(raw!FE1,"_"," "),"|",": ")</f>
        <v/>
      </c>
      <c r="FF1" t="str">
        <f>SUBSTITUTE(SUBSTITUTE(raw!FF1,"_"," "),"|",": ")</f>
        <v/>
      </c>
      <c r="FG1" t="str">
        <f>SUBSTITUTE(SUBSTITUTE(raw!FG1,"_"," "),"|",": ")</f>
        <v/>
      </c>
      <c r="FH1" t="str">
        <f>SUBSTITUTE(SUBSTITUTE(raw!FH1,"_"," "),"|",": ")</f>
        <v/>
      </c>
      <c r="FI1" t="str">
        <f>SUBSTITUTE(SUBSTITUTE(raw!FI1,"_"," "),"|",": ")</f>
        <v/>
      </c>
      <c r="FJ1" t="str">
        <f>SUBSTITUTE(SUBSTITUTE(raw!FJ1,"_"," "),"|",": ")</f>
        <v/>
      </c>
      <c r="FK1" t="str">
        <f>SUBSTITUTE(SUBSTITUTE(raw!FK1,"_"," "),"|",": ")</f>
        <v/>
      </c>
      <c r="FL1" t="str">
        <f>SUBSTITUTE(SUBSTITUTE(raw!FL1,"_"," "),"|",": ")</f>
        <v/>
      </c>
      <c r="FM1" t="str">
        <f>SUBSTITUTE(SUBSTITUTE(raw!FM1,"_"," "),"|",": ")</f>
        <v/>
      </c>
      <c r="FN1" t="str">
        <f>SUBSTITUTE(SUBSTITUTE(raw!FN1,"_"," "),"|",": ")</f>
        <v/>
      </c>
      <c r="FO1" t="str">
        <f>SUBSTITUTE(SUBSTITUTE(raw!FO1,"_"," "),"|",": ")</f>
        <v/>
      </c>
      <c r="FP1" t="str">
        <f>SUBSTITUTE(SUBSTITUTE(raw!FP1,"_"," "),"|",": ")</f>
        <v/>
      </c>
      <c r="FQ1" t="str">
        <f>SUBSTITUTE(SUBSTITUTE(raw!FQ1,"_"," "),"|",": ")</f>
        <v/>
      </c>
      <c r="FR1" t="str">
        <f>SUBSTITUTE(SUBSTITUTE(raw!FR1,"_"," "),"|",": ")</f>
        <v/>
      </c>
      <c r="FS1" t="str">
        <f>SUBSTITUTE(SUBSTITUTE(raw!FS1,"_"," "),"|",": ")</f>
        <v/>
      </c>
      <c r="FT1" t="str">
        <f>SUBSTITUTE(SUBSTITUTE(raw!FT1,"_"," "),"|",": ")</f>
        <v/>
      </c>
      <c r="FU1" t="str">
        <f>SUBSTITUTE(SUBSTITUTE(raw!FU1,"_"," "),"|",": ")</f>
        <v/>
      </c>
      <c r="FV1" t="str">
        <f>SUBSTITUTE(SUBSTITUTE(raw!FV1,"_"," "),"|",": ")</f>
        <v/>
      </c>
      <c r="FW1" t="str">
        <f>SUBSTITUTE(SUBSTITUTE(raw!FW1,"_"," "),"|",": ")</f>
        <v/>
      </c>
      <c r="FX1" t="str">
        <f>SUBSTITUTE(SUBSTITUTE(raw!FX1,"_"," "),"|",": ")</f>
        <v/>
      </c>
      <c r="FY1" t="str">
        <f>SUBSTITUTE(SUBSTITUTE(raw!FY1,"_"," "),"|",": ")</f>
        <v/>
      </c>
      <c r="FZ1" t="str">
        <f>SUBSTITUTE(SUBSTITUTE(raw!FZ1,"_"," "),"|",": ")</f>
        <v/>
      </c>
      <c r="GA1" t="str">
        <f>SUBSTITUTE(SUBSTITUTE(raw!GA1,"_"," "),"|",": ")</f>
        <v/>
      </c>
      <c r="GB1" t="str">
        <f>SUBSTITUTE(SUBSTITUTE(raw!GB1,"_"," "),"|",": ")</f>
        <v/>
      </c>
      <c r="GC1" t="str">
        <f>SUBSTITUTE(SUBSTITUTE(raw!GC1,"_"," "),"|",": 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164"/>
  <sheetViews>
    <sheetView topLeftCell="H1" zoomScaleNormal="100" workbookViewId="0">
      <selection activeCell="L25" sqref="L25"/>
    </sheetView>
  </sheetViews>
  <sheetFormatPr defaultRowHeight="15" x14ac:dyDescent="0.25"/>
  <cols>
    <col min="1" max="1" width="9.140625" style="2"/>
    <col min="2" max="2" width="7.7109375" style="2" customWidth="1"/>
    <col min="3" max="3" width="19.42578125" style="2" bestFit="1" customWidth="1"/>
    <col min="4" max="4" width="3.42578125" style="2" customWidth="1"/>
    <col min="5" max="5" width="17.7109375" style="2" customWidth="1"/>
    <col min="6" max="8" width="9.140625" style="2"/>
    <col min="9" max="9" width="88.5703125" style="2" customWidth="1"/>
    <col min="10" max="10" width="4" style="2" bestFit="1" customWidth="1"/>
    <col min="11" max="11" width="44.7109375" style="2" bestFit="1" customWidth="1"/>
    <col min="12" max="13" width="19.42578125" style="2" bestFit="1" customWidth="1"/>
    <col min="14" max="14" width="24.140625" style="2" bestFit="1" customWidth="1"/>
    <col min="15" max="16" width="9.140625" style="2"/>
    <col min="17" max="17" width="9.140625" style="27"/>
    <col min="18" max="16384" width="9.140625" style="2"/>
  </cols>
  <sheetData>
    <row r="2" spans="2:18" x14ac:dyDescent="0.25">
      <c r="C2" s="2" t="str">
        <f ca="1">"PLOT: ["&amp;F5&amp;"] vs. ["&amp;F4&amp;"]"</f>
        <v>PLOT: [-] vs. [-]</v>
      </c>
    </row>
    <row r="3" spans="2:18" x14ac:dyDescent="0.25">
      <c r="C3" s="2" t="s">
        <v>21</v>
      </c>
      <c r="E3" s="2" t="s">
        <v>22</v>
      </c>
    </row>
    <row r="4" spans="2:18" x14ac:dyDescent="0.25">
      <c r="B4" s="1" t="s">
        <v>18</v>
      </c>
      <c r="C4" s="4" t="s">
        <v>6</v>
      </c>
      <c r="E4" s="4" t="s">
        <v>23</v>
      </c>
      <c r="F4" s="14" t="str">
        <f ca="1">IFERROR(IF(INDIRECT("raw!"&amp;$C$4&amp;$J10)&lt;&gt;"",INDIRECT("raw!"&amp;$C$4&amp;$J10),"-"),"")</f>
        <v>-</v>
      </c>
    </row>
    <row r="5" spans="2:18" x14ac:dyDescent="0.25">
      <c r="B5" s="1" t="s">
        <v>19</v>
      </c>
      <c r="C5" s="4" t="s">
        <v>7</v>
      </c>
      <c r="E5" s="4" t="s">
        <v>23</v>
      </c>
      <c r="F5" s="14" t="str">
        <f ca="1">IFERROR(IF(INDIRECT("raw!"&amp;$C$5&amp;$J10)&lt;&gt;"",INDIRECT("raw!"&amp;$C$5&amp;$J10),"-"),"")</f>
        <v>-</v>
      </c>
    </row>
    <row r="6" spans="2:18" x14ac:dyDescent="0.25">
      <c r="B6" s="1" t="s">
        <v>20</v>
      </c>
      <c r="C6" s="4" t="s">
        <v>4</v>
      </c>
      <c r="F6" s="14" t="str">
        <f ca="1">IFERROR(IF(INDIRECT("raw!"&amp;$C$6&amp;$J10)&lt;&gt;"",INDIRECT("raw!"&amp;$C$6&amp;$J10),"-"),"")</f>
        <v>-</v>
      </c>
    </row>
    <row r="7" spans="2:18" x14ac:dyDescent="0.25">
      <c r="C7" s="4" t="s">
        <v>17</v>
      </c>
    </row>
    <row r="10" spans="2:18" x14ac:dyDescent="0.25">
      <c r="J10" s="24">
        <v>1</v>
      </c>
      <c r="K10" s="15" t="str">
        <f t="shared" ref="K10:K41" ca="1" si="0">IFERROR(IF(INDIRECT("raw!"&amp;$C$6&amp;$J10)&lt;&gt;"",INDIRECT("raw!"&amp;$C$6&amp;$J10),"-"),"")</f>
        <v>-</v>
      </c>
      <c r="L10" s="15" t="str">
        <f t="shared" ref="L10:L41" ca="1" si="1">IFERROR(IF(INDIRECT("raw!"&amp;$C$7&amp;$J10)&lt;&gt;"",INDIRECT("raw!"&amp;$C$7&amp;$J10),"-"),"")</f>
        <v>-</v>
      </c>
      <c r="M10" s="16" t="str">
        <f t="shared" ref="M10:M41" ca="1" si="2">IFERROR(IF(INDIRECT("raw!"&amp;$C$4&amp;$J10)&lt;&gt;"",INDIRECT("raw!"&amp;$C$4&amp;$J10),"-"),"")</f>
        <v>-</v>
      </c>
      <c r="N10" s="17" t="str">
        <f t="shared" ref="N10:N41" ca="1" si="3">IFERROR(IF(INDIRECT("raw!"&amp;$C$5&amp;$J10)&lt;&gt;"",INDIRECT("raw!"&amp;$C$5&amp;$J10),"-"),"")</f>
        <v>-</v>
      </c>
      <c r="O10" s="16" t="s">
        <v>25</v>
      </c>
      <c r="P10" s="17" t="s">
        <v>26</v>
      </c>
    </row>
    <row r="11" spans="2:18" x14ac:dyDescent="0.25">
      <c r="J11" s="25">
        <v>2</v>
      </c>
      <c r="K11" s="18" t="str">
        <f t="shared" ca="1" si="0"/>
        <v>-</v>
      </c>
      <c r="L11" s="18" t="str">
        <f t="shared" ca="1" si="1"/>
        <v>-</v>
      </c>
      <c r="M11" s="20" t="str">
        <f t="shared" ca="1" si="2"/>
        <v>-</v>
      </c>
      <c r="N11" s="21" t="str">
        <f t="shared" ca="1" si="3"/>
        <v>-</v>
      </c>
      <c r="O11" s="20" t="e">
        <f ca="1">VALUE(IFERROR(M11-IF($E$4="Incremental",INDEX($K$11:$N$164,MATCH(K11,$K$11:$K$164,),3),0),NA()))</f>
        <v>#N/A</v>
      </c>
      <c r="P11" s="21" t="e">
        <f ca="1">IFERROR(N11-IF($E$5="Incremental",INDEX($K$11:$N$164,MATCH(K11,$K$11:$K$164,),4),0),NA())</f>
        <v>#N/A</v>
      </c>
      <c r="Q11" s="27" t="str">
        <f ca="1">K11&amp;" / "&amp;L11</f>
        <v>- / -</v>
      </c>
    </row>
    <row r="12" spans="2:18" x14ac:dyDescent="0.25">
      <c r="J12" s="25">
        <f>J11+1</f>
        <v>3</v>
      </c>
      <c r="K12" s="18" t="str">
        <f t="shared" ca="1" si="0"/>
        <v>-</v>
      </c>
      <c r="L12" s="18" t="str">
        <f t="shared" ca="1" si="1"/>
        <v>-</v>
      </c>
      <c r="M12" s="20" t="str">
        <f t="shared" ca="1" si="2"/>
        <v>-</v>
      </c>
      <c r="N12" s="21" t="str">
        <f t="shared" ca="1" si="3"/>
        <v>-</v>
      </c>
      <c r="O12" s="20" t="e">
        <f t="shared" ref="O12:O75" ca="1" si="4">VALUE(IFERROR(M12-IF($E$4="Incremental",INDEX($K$11:$N$164,MATCH(K12,$K$11:$K$164,),3),0),NA()))</f>
        <v>#N/A</v>
      </c>
      <c r="P12" s="21" t="e">
        <f t="shared" ref="P12:P75" ca="1" si="5">IFERROR(N12-IF($E$5="Incremental",INDEX($K$11:$N$164,MATCH(K12,$K$11:$K$164,),4),0),NA())</f>
        <v>#N/A</v>
      </c>
      <c r="Q12" s="27" t="str">
        <f t="shared" ref="Q12:Q75" ca="1" si="6">K12&amp;" / "&amp;L12</f>
        <v>- / -</v>
      </c>
      <c r="R12" s="28"/>
    </row>
    <row r="13" spans="2:18" x14ac:dyDescent="0.25">
      <c r="J13" s="25">
        <f t="shared" ref="J13:J76" si="7">J12+1</f>
        <v>4</v>
      </c>
      <c r="K13" s="18" t="str">
        <f t="shared" ca="1" si="0"/>
        <v>-</v>
      </c>
      <c r="L13" s="18" t="str">
        <f t="shared" ca="1" si="1"/>
        <v>-</v>
      </c>
      <c r="M13" s="20" t="str">
        <f t="shared" ca="1" si="2"/>
        <v>-</v>
      </c>
      <c r="N13" s="21" t="str">
        <f t="shared" ca="1" si="3"/>
        <v>-</v>
      </c>
      <c r="O13" s="20" t="e">
        <f t="shared" ca="1" si="4"/>
        <v>#N/A</v>
      </c>
      <c r="P13" s="21" t="e">
        <f t="shared" ca="1" si="5"/>
        <v>#N/A</v>
      </c>
      <c r="Q13" s="27" t="str">
        <f t="shared" ca="1" si="6"/>
        <v>- / -</v>
      </c>
    </row>
    <row r="14" spans="2:18" x14ac:dyDescent="0.25">
      <c r="J14" s="25">
        <f t="shared" si="7"/>
        <v>5</v>
      </c>
      <c r="K14" s="18" t="str">
        <f t="shared" ca="1" si="0"/>
        <v>-</v>
      </c>
      <c r="L14" s="18" t="str">
        <f t="shared" ca="1" si="1"/>
        <v>-</v>
      </c>
      <c r="M14" s="20" t="str">
        <f t="shared" ca="1" si="2"/>
        <v>-</v>
      </c>
      <c r="N14" s="21" t="str">
        <f t="shared" ca="1" si="3"/>
        <v>-</v>
      </c>
      <c r="O14" s="20" t="e">
        <f t="shared" ca="1" si="4"/>
        <v>#N/A</v>
      </c>
      <c r="P14" s="21" t="e">
        <f t="shared" ca="1" si="5"/>
        <v>#N/A</v>
      </c>
      <c r="Q14" s="27" t="str">
        <f t="shared" ca="1" si="6"/>
        <v>- / -</v>
      </c>
      <c r="R14" s="28"/>
    </row>
    <row r="15" spans="2:18" x14ac:dyDescent="0.25">
      <c r="J15" s="25">
        <f t="shared" si="7"/>
        <v>6</v>
      </c>
      <c r="K15" s="18" t="str">
        <f t="shared" ca="1" si="0"/>
        <v>-</v>
      </c>
      <c r="L15" s="18" t="str">
        <f t="shared" ca="1" si="1"/>
        <v>-</v>
      </c>
      <c r="M15" s="20" t="str">
        <f t="shared" ca="1" si="2"/>
        <v>-</v>
      </c>
      <c r="N15" s="21" t="str">
        <f t="shared" ca="1" si="3"/>
        <v>-</v>
      </c>
      <c r="O15" s="20" t="e">
        <f t="shared" ca="1" si="4"/>
        <v>#N/A</v>
      </c>
      <c r="P15" s="21" t="e">
        <f t="shared" ca="1" si="5"/>
        <v>#N/A</v>
      </c>
      <c r="Q15" s="27" t="str">
        <f t="shared" ca="1" si="6"/>
        <v>- / -</v>
      </c>
    </row>
    <row r="16" spans="2:18" x14ac:dyDescent="0.25">
      <c r="J16" s="25">
        <f t="shared" si="7"/>
        <v>7</v>
      </c>
      <c r="K16" s="18" t="str">
        <f t="shared" ca="1" si="0"/>
        <v>-</v>
      </c>
      <c r="L16" s="18" t="str">
        <f t="shared" ca="1" si="1"/>
        <v>-</v>
      </c>
      <c r="M16" s="20" t="str">
        <f t="shared" ca="1" si="2"/>
        <v>-</v>
      </c>
      <c r="N16" s="21" t="str">
        <f t="shared" ca="1" si="3"/>
        <v>-</v>
      </c>
      <c r="O16" s="20" t="e">
        <f t="shared" ca="1" si="4"/>
        <v>#N/A</v>
      </c>
      <c r="P16" s="21" t="e">
        <f t="shared" ca="1" si="5"/>
        <v>#N/A</v>
      </c>
      <c r="Q16" s="27" t="str">
        <f t="shared" ca="1" si="6"/>
        <v>- / -</v>
      </c>
      <c r="R16" s="28"/>
    </row>
    <row r="17" spans="10:18" x14ac:dyDescent="0.25">
      <c r="J17" s="25">
        <f t="shared" si="7"/>
        <v>8</v>
      </c>
      <c r="K17" s="18" t="str">
        <f t="shared" ca="1" si="0"/>
        <v>-</v>
      </c>
      <c r="L17" s="18" t="str">
        <f t="shared" ca="1" si="1"/>
        <v>-</v>
      </c>
      <c r="M17" s="20" t="str">
        <f t="shared" ca="1" si="2"/>
        <v>-</v>
      </c>
      <c r="N17" s="21" t="str">
        <f t="shared" ca="1" si="3"/>
        <v>-</v>
      </c>
      <c r="O17" s="20" t="e">
        <f t="shared" ca="1" si="4"/>
        <v>#N/A</v>
      </c>
      <c r="P17" s="21" t="e">
        <f t="shared" ca="1" si="5"/>
        <v>#N/A</v>
      </c>
      <c r="Q17" s="27" t="str">
        <f t="shared" ca="1" si="6"/>
        <v>- / -</v>
      </c>
    </row>
    <row r="18" spans="10:18" x14ac:dyDescent="0.25">
      <c r="J18" s="25">
        <f t="shared" si="7"/>
        <v>9</v>
      </c>
      <c r="K18" s="18" t="str">
        <f t="shared" ca="1" si="0"/>
        <v>-</v>
      </c>
      <c r="L18" s="18" t="str">
        <f t="shared" ca="1" si="1"/>
        <v>-</v>
      </c>
      <c r="M18" s="20" t="str">
        <f t="shared" ca="1" si="2"/>
        <v>-</v>
      </c>
      <c r="N18" s="21" t="str">
        <f t="shared" ca="1" si="3"/>
        <v>-</v>
      </c>
      <c r="O18" s="20" t="e">
        <f t="shared" ca="1" si="4"/>
        <v>#N/A</v>
      </c>
      <c r="P18" s="21" t="e">
        <f t="shared" ca="1" si="5"/>
        <v>#N/A</v>
      </c>
      <c r="Q18" s="27" t="str">
        <f t="shared" ca="1" si="6"/>
        <v>- / -</v>
      </c>
      <c r="R18" s="28"/>
    </row>
    <row r="19" spans="10:18" x14ac:dyDescent="0.25">
      <c r="J19" s="25">
        <f t="shared" si="7"/>
        <v>10</v>
      </c>
      <c r="K19" s="18" t="str">
        <f t="shared" ca="1" si="0"/>
        <v>-</v>
      </c>
      <c r="L19" s="18" t="str">
        <f t="shared" ca="1" si="1"/>
        <v>-</v>
      </c>
      <c r="M19" s="20" t="str">
        <f t="shared" ca="1" si="2"/>
        <v>-</v>
      </c>
      <c r="N19" s="21" t="str">
        <f t="shared" ca="1" si="3"/>
        <v>-</v>
      </c>
      <c r="O19" s="20" t="e">
        <f t="shared" ca="1" si="4"/>
        <v>#N/A</v>
      </c>
      <c r="P19" s="21" t="e">
        <f t="shared" ca="1" si="5"/>
        <v>#N/A</v>
      </c>
      <c r="Q19" s="27" t="str">
        <f t="shared" ca="1" si="6"/>
        <v>- / -</v>
      </c>
    </row>
    <row r="20" spans="10:18" x14ac:dyDescent="0.25">
      <c r="J20" s="25">
        <f t="shared" si="7"/>
        <v>11</v>
      </c>
      <c r="K20" s="18" t="str">
        <f t="shared" ca="1" si="0"/>
        <v>-</v>
      </c>
      <c r="L20" s="18" t="str">
        <f t="shared" ca="1" si="1"/>
        <v>-</v>
      </c>
      <c r="M20" s="20" t="str">
        <f t="shared" ca="1" si="2"/>
        <v>-</v>
      </c>
      <c r="N20" s="21" t="str">
        <f t="shared" ca="1" si="3"/>
        <v>-</v>
      </c>
      <c r="O20" s="20" t="e">
        <f t="shared" ca="1" si="4"/>
        <v>#N/A</v>
      </c>
      <c r="P20" s="21" t="e">
        <f t="shared" ca="1" si="5"/>
        <v>#N/A</v>
      </c>
      <c r="Q20" s="27" t="str">
        <f t="shared" ca="1" si="6"/>
        <v>- / -</v>
      </c>
      <c r="R20" s="28"/>
    </row>
    <row r="21" spans="10:18" x14ac:dyDescent="0.25">
      <c r="J21" s="25">
        <f t="shared" si="7"/>
        <v>12</v>
      </c>
      <c r="K21" s="18" t="str">
        <f t="shared" ca="1" si="0"/>
        <v>-</v>
      </c>
      <c r="L21" s="18" t="str">
        <f t="shared" ca="1" si="1"/>
        <v>-</v>
      </c>
      <c r="M21" s="20" t="str">
        <f t="shared" ca="1" si="2"/>
        <v>-</v>
      </c>
      <c r="N21" s="21" t="str">
        <f t="shared" ca="1" si="3"/>
        <v>-</v>
      </c>
      <c r="O21" s="20" t="e">
        <f t="shared" ca="1" si="4"/>
        <v>#N/A</v>
      </c>
      <c r="P21" s="21" t="e">
        <f t="shared" ca="1" si="5"/>
        <v>#N/A</v>
      </c>
      <c r="Q21" s="27" t="str">
        <f t="shared" ca="1" si="6"/>
        <v>- / -</v>
      </c>
    </row>
    <row r="22" spans="10:18" x14ac:dyDescent="0.25">
      <c r="J22" s="25">
        <f t="shared" si="7"/>
        <v>13</v>
      </c>
      <c r="K22" s="18" t="str">
        <f t="shared" ca="1" si="0"/>
        <v>-</v>
      </c>
      <c r="L22" s="18" t="str">
        <f t="shared" ca="1" si="1"/>
        <v>-</v>
      </c>
      <c r="M22" s="20" t="str">
        <f t="shared" ca="1" si="2"/>
        <v>-</v>
      </c>
      <c r="N22" s="21" t="str">
        <f t="shared" ca="1" si="3"/>
        <v>-</v>
      </c>
      <c r="O22" s="20" t="e">
        <f t="shared" ca="1" si="4"/>
        <v>#N/A</v>
      </c>
      <c r="P22" s="21" t="e">
        <f t="shared" ca="1" si="5"/>
        <v>#N/A</v>
      </c>
      <c r="Q22" s="27" t="str">
        <f t="shared" ca="1" si="6"/>
        <v>- / -</v>
      </c>
      <c r="R22" s="28"/>
    </row>
    <row r="23" spans="10:18" x14ac:dyDescent="0.25">
      <c r="J23" s="25">
        <f t="shared" si="7"/>
        <v>14</v>
      </c>
      <c r="K23" s="18" t="str">
        <f t="shared" ca="1" si="0"/>
        <v>-</v>
      </c>
      <c r="L23" s="18" t="str">
        <f t="shared" ca="1" si="1"/>
        <v>-</v>
      </c>
      <c r="M23" s="20" t="str">
        <f t="shared" ca="1" si="2"/>
        <v>-</v>
      </c>
      <c r="N23" s="21" t="str">
        <f t="shared" ca="1" si="3"/>
        <v>-</v>
      </c>
      <c r="O23" s="20" t="e">
        <f t="shared" ca="1" si="4"/>
        <v>#N/A</v>
      </c>
      <c r="P23" s="21" t="e">
        <f t="shared" ca="1" si="5"/>
        <v>#N/A</v>
      </c>
      <c r="Q23" s="27" t="str">
        <f t="shared" ca="1" si="6"/>
        <v>- / -</v>
      </c>
    </row>
    <row r="24" spans="10:18" x14ac:dyDescent="0.25">
      <c r="J24" s="25">
        <f t="shared" si="7"/>
        <v>15</v>
      </c>
      <c r="K24" s="18" t="str">
        <f t="shared" ca="1" si="0"/>
        <v>-</v>
      </c>
      <c r="L24" s="18" t="str">
        <f t="shared" ca="1" si="1"/>
        <v>-</v>
      </c>
      <c r="M24" s="20" t="str">
        <f t="shared" ca="1" si="2"/>
        <v>-</v>
      </c>
      <c r="N24" s="21" t="str">
        <f t="shared" ca="1" si="3"/>
        <v>-</v>
      </c>
      <c r="O24" s="20" t="e">
        <f t="shared" ca="1" si="4"/>
        <v>#N/A</v>
      </c>
      <c r="P24" s="21" t="e">
        <f t="shared" ca="1" si="5"/>
        <v>#N/A</v>
      </c>
      <c r="Q24" s="27" t="str">
        <f t="shared" ca="1" si="6"/>
        <v>- / -</v>
      </c>
    </row>
    <row r="25" spans="10:18" x14ac:dyDescent="0.25">
      <c r="J25" s="25">
        <f t="shared" si="7"/>
        <v>16</v>
      </c>
      <c r="K25" s="18" t="str">
        <f t="shared" ca="1" si="0"/>
        <v>-</v>
      </c>
      <c r="L25" s="18" t="str">
        <f t="shared" ca="1" si="1"/>
        <v>-</v>
      </c>
      <c r="M25" s="20" t="str">
        <f t="shared" ca="1" si="2"/>
        <v>-</v>
      </c>
      <c r="N25" s="21" t="str">
        <f t="shared" ca="1" si="3"/>
        <v>-</v>
      </c>
      <c r="O25" s="20" t="e">
        <f t="shared" ca="1" si="4"/>
        <v>#N/A</v>
      </c>
      <c r="P25" s="21" t="e">
        <f t="shared" ca="1" si="5"/>
        <v>#N/A</v>
      </c>
      <c r="Q25" s="27" t="str">
        <f t="shared" ca="1" si="6"/>
        <v>- / -</v>
      </c>
    </row>
    <row r="26" spans="10:18" x14ac:dyDescent="0.25">
      <c r="J26" s="25">
        <f t="shared" si="7"/>
        <v>17</v>
      </c>
      <c r="K26" s="18" t="str">
        <f t="shared" ca="1" si="0"/>
        <v>-</v>
      </c>
      <c r="L26" s="18" t="str">
        <f t="shared" ca="1" si="1"/>
        <v>-</v>
      </c>
      <c r="M26" s="20" t="str">
        <f t="shared" ca="1" si="2"/>
        <v>-</v>
      </c>
      <c r="N26" s="21" t="str">
        <f t="shared" ca="1" si="3"/>
        <v>-</v>
      </c>
      <c r="O26" s="20" t="e">
        <f t="shared" ca="1" si="4"/>
        <v>#N/A</v>
      </c>
      <c r="P26" s="21" t="e">
        <f t="shared" ca="1" si="5"/>
        <v>#N/A</v>
      </c>
      <c r="Q26" s="27" t="str">
        <f t="shared" ca="1" si="6"/>
        <v>- / -</v>
      </c>
    </row>
    <row r="27" spans="10:18" x14ac:dyDescent="0.25">
      <c r="J27" s="25">
        <f t="shared" si="7"/>
        <v>18</v>
      </c>
      <c r="K27" s="18" t="str">
        <f t="shared" ca="1" si="0"/>
        <v>-</v>
      </c>
      <c r="L27" s="18" t="str">
        <f t="shared" ca="1" si="1"/>
        <v>-</v>
      </c>
      <c r="M27" s="20" t="str">
        <f t="shared" ca="1" si="2"/>
        <v>-</v>
      </c>
      <c r="N27" s="21" t="str">
        <f t="shared" ca="1" si="3"/>
        <v>-</v>
      </c>
      <c r="O27" s="20" t="e">
        <f t="shared" ca="1" si="4"/>
        <v>#N/A</v>
      </c>
      <c r="P27" s="21" t="e">
        <f t="shared" ca="1" si="5"/>
        <v>#N/A</v>
      </c>
      <c r="Q27" s="27" t="str">
        <f t="shared" ca="1" si="6"/>
        <v>- / -</v>
      </c>
    </row>
    <row r="28" spans="10:18" x14ac:dyDescent="0.25">
      <c r="J28" s="25">
        <f t="shared" si="7"/>
        <v>19</v>
      </c>
      <c r="K28" s="18" t="str">
        <f t="shared" ca="1" si="0"/>
        <v>-</v>
      </c>
      <c r="L28" s="18" t="str">
        <f t="shared" ca="1" si="1"/>
        <v>-</v>
      </c>
      <c r="M28" s="20" t="str">
        <f t="shared" ca="1" si="2"/>
        <v>-</v>
      </c>
      <c r="N28" s="21" t="str">
        <f t="shared" ca="1" si="3"/>
        <v>-</v>
      </c>
      <c r="O28" s="20" t="e">
        <f t="shared" ca="1" si="4"/>
        <v>#N/A</v>
      </c>
      <c r="P28" s="21" t="e">
        <f t="shared" ca="1" si="5"/>
        <v>#N/A</v>
      </c>
      <c r="Q28" s="27" t="str">
        <f t="shared" ca="1" si="6"/>
        <v>- / -</v>
      </c>
    </row>
    <row r="29" spans="10:18" x14ac:dyDescent="0.25">
      <c r="J29" s="25">
        <f t="shared" si="7"/>
        <v>20</v>
      </c>
      <c r="K29" s="18" t="str">
        <f t="shared" ca="1" si="0"/>
        <v>-</v>
      </c>
      <c r="L29" s="18" t="str">
        <f t="shared" ca="1" si="1"/>
        <v>-</v>
      </c>
      <c r="M29" s="20" t="str">
        <f t="shared" ca="1" si="2"/>
        <v>-</v>
      </c>
      <c r="N29" s="21" t="str">
        <f t="shared" ca="1" si="3"/>
        <v>-</v>
      </c>
      <c r="O29" s="20" t="e">
        <f t="shared" ca="1" si="4"/>
        <v>#N/A</v>
      </c>
      <c r="P29" s="21" t="e">
        <f t="shared" ca="1" si="5"/>
        <v>#N/A</v>
      </c>
      <c r="Q29" s="27" t="str">
        <f t="shared" ca="1" si="6"/>
        <v>- / -</v>
      </c>
    </row>
    <row r="30" spans="10:18" x14ac:dyDescent="0.25">
      <c r="J30" s="25">
        <f t="shared" si="7"/>
        <v>21</v>
      </c>
      <c r="K30" s="18" t="str">
        <f t="shared" ca="1" si="0"/>
        <v>-</v>
      </c>
      <c r="L30" s="18" t="str">
        <f t="shared" ca="1" si="1"/>
        <v>-</v>
      </c>
      <c r="M30" s="20" t="str">
        <f t="shared" ca="1" si="2"/>
        <v>-</v>
      </c>
      <c r="N30" s="21" t="str">
        <f t="shared" ca="1" si="3"/>
        <v>-</v>
      </c>
      <c r="O30" s="20" t="e">
        <f t="shared" ca="1" si="4"/>
        <v>#N/A</v>
      </c>
      <c r="P30" s="21" t="e">
        <f t="shared" ca="1" si="5"/>
        <v>#N/A</v>
      </c>
      <c r="Q30" s="27" t="str">
        <f t="shared" ca="1" si="6"/>
        <v>- / -</v>
      </c>
    </row>
    <row r="31" spans="10:18" x14ac:dyDescent="0.25">
      <c r="J31" s="25">
        <f t="shared" si="7"/>
        <v>22</v>
      </c>
      <c r="K31" s="18" t="str">
        <f t="shared" ca="1" si="0"/>
        <v>-</v>
      </c>
      <c r="L31" s="18" t="str">
        <f t="shared" ca="1" si="1"/>
        <v>-</v>
      </c>
      <c r="M31" s="20" t="str">
        <f t="shared" ca="1" si="2"/>
        <v>-</v>
      </c>
      <c r="N31" s="21" t="str">
        <f t="shared" ca="1" si="3"/>
        <v>-</v>
      </c>
      <c r="O31" s="20" t="e">
        <f t="shared" ca="1" si="4"/>
        <v>#N/A</v>
      </c>
      <c r="P31" s="21" t="e">
        <f t="shared" ca="1" si="5"/>
        <v>#N/A</v>
      </c>
      <c r="Q31" s="27" t="str">
        <f t="shared" ca="1" si="6"/>
        <v>- / -</v>
      </c>
    </row>
    <row r="32" spans="10:18" x14ac:dyDescent="0.25">
      <c r="J32" s="25">
        <f t="shared" si="7"/>
        <v>23</v>
      </c>
      <c r="K32" s="18" t="str">
        <f t="shared" ca="1" si="0"/>
        <v>-</v>
      </c>
      <c r="L32" s="18" t="str">
        <f t="shared" ca="1" si="1"/>
        <v>-</v>
      </c>
      <c r="M32" s="20" t="str">
        <f t="shared" ca="1" si="2"/>
        <v>-</v>
      </c>
      <c r="N32" s="21" t="str">
        <f t="shared" ca="1" si="3"/>
        <v>-</v>
      </c>
      <c r="O32" s="20" t="e">
        <f t="shared" ca="1" si="4"/>
        <v>#N/A</v>
      </c>
      <c r="P32" s="21" t="e">
        <f t="shared" ca="1" si="5"/>
        <v>#N/A</v>
      </c>
      <c r="Q32" s="27" t="str">
        <f t="shared" ca="1" si="6"/>
        <v>- / -</v>
      </c>
    </row>
    <row r="33" spans="10:17" x14ac:dyDescent="0.25">
      <c r="J33" s="25">
        <f t="shared" si="7"/>
        <v>24</v>
      </c>
      <c r="K33" s="18" t="str">
        <f t="shared" ca="1" si="0"/>
        <v>-</v>
      </c>
      <c r="L33" s="18" t="str">
        <f t="shared" ca="1" si="1"/>
        <v>-</v>
      </c>
      <c r="M33" s="20" t="str">
        <f t="shared" ca="1" si="2"/>
        <v>-</v>
      </c>
      <c r="N33" s="21" t="str">
        <f t="shared" ca="1" si="3"/>
        <v>-</v>
      </c>
      <c r="O33" s="20" t="e">
        <f t="shared" ca="1" si="4"/>
        <v>#N/A</v>
      </c>
      <c r="P33" s="21" t="e">
        <f t="shared" ca="1" si="5"/>
        <v>#N/A</v>
      </c>
      <c r="Q33" s="27" t="str">
        <f t="shared" ca="1" si="6"/>
        <v>- / -</v>
      </c>
    </row>
    <row r="34" spans="10:17" x14ac:dyDescent="0.25">
      <c r="J34" s="25">
        <f t="shared" si="7"/>
        <v>25</v>
      </c>
      <c r="K34" s="18" t="str">
        <f t="shared" ca="1" si="0"/>
        <v>-</v>
      </c>
      <c r="L34" s="18" t="str">
        <f t="shared" ca="1" si="1"/>
        <v>-</v>
      </c>
      <c r="M34" s="20" t="str">
        <f t="shared" ca="1" si="2"/>
        <v>-</v>
      </c>
      <c r="N34" s="21" t="str">
        <f t="shared" ca="1" si="3"/>
        <v>-</v>
      </c>
      <c r="O34" s="20" t="e">
        <f t="shared" ca="1" si="4"/>
        <v>#N/A</v>
      </c>
      <c r="P34" s="21" t="e">
        <f t="shared" ca="1" si="5"/>
        <v>#N/A</v>
      </c>
      <c r="Q34" s="27" t="str">
        <f t="shared" ca="1" si="6"/>
        <v>- / -</v>
      </c>
    </row>
    <row r="35" spans="10:17" x14ac:dyDescent="0.25">
      <c r="J35" s="25">
        <f t="shared" si="7"/>
        <v>26</v>
      </c>
      <c r="K35" s="18" t="str">
        <f t="shared" ca="1" si="0"/>
        <v>-</v>
      </c>
      <c r="L35" s="18" t="str">
        <f t="shared" ca="1" si="1"/>
        <v>-</v>
      </c>
      <c r="M35" s="20" t="str">
        <f t="shared" ca="1" si="2"/>
        <v>-</v>
      </c>
      <c r="N35" s="21" t="str">
        <f t="shared" ca="1" si="3"/>
        <v>-</v>
      </c>
      <c r="O35" s="20" t="e">
        <f t="shared" ca="1" si="4"/>
        <v>#N/A</v>
      </c>
      <c r="P35" s="21" t="e">
        <f t="shared" ca="1" si="5"/>
        <v>#N/A</v>
      </c>
      <c r="Q35" s="27" t="str">
        <f t="shared" ca="1" si="6"/>
        <v>- / -</v>
      </c>
    </row>
    <row r="36" spans="10:17" x14ac:dyDescent="0.25">
      <c r="J36" s="25">
        <f t="shared" si="7"/>
        <v>27</v>
      </c>
      <c r="K36" s="18" t="str">
        <f t="shared" ca="1" si="0"/>
        <v>-</v>
      </c>
      <c r="L36" s="18" t="str">
        <f t="shared" ca="1" si="1"/>
        <v>-</v>
      </c>
      <c r="M36" s="20" t="str">
        <f t="shared" ca="1" si="2"/>
        <v>-</v>
      </c>
      <c r="N36" s="21" t="str">
        <f t="shared" ca="1" si="3"/>
        <v>-</v>
      </c>
      <c r="O36" s="20" t="e">
        <f t="shared" ca="1" si="4"/>
        <v>#N/A</v>
      </c>
      <c r="P36" s="21" t="e">
        <f t="shared" ca="1" si="5"/>
        <v>#N/A</v>
      </c>
      <c r="Q36" s="27" t="str">
        <f t="shared" ca="1" si="6"/>
        <v>- / -</v>
      </c>
    </row>
    <row r="37" spans="10:17" x14ac:dyDescent="0.25">
      <c r="J37" s="25">
        <f t="shared" si="7"/>
        <v>28</v>
      </c>
      <c r="K37" s="18" t="str">
        <f t="shared" ca="1" si="0"/>
        <v>-</v>
      </c>
      <c r="L37" s="18" t="str">
        <f t="shared" ca="1" si="1"/>
        <v>-</v>
      </c>
      <c r="M37" s="20" t="str">
        <f t="shared" ca="1" si="2"/>
        <v>-</v>
      </c>
      <c r="N37" s="21" t="str">
        <f t="shared" ca="1" si="3"/>
        <v>-</v>
      </c>
      <c r="O37" s="20" t="e">
        <f t="shared" ca="1" si="4"/>
        <v>#N/A</v>
      </c>
      <c r="P37" s="21" t="e">
        <f t="shared" ca="1" si="5"/>
        <v>#N/A</v>
      </c>
      <c r="Q37" s="27" t="str">
        <f t="shared" ca="1" si="6"/>
        <v>- / -</v>
      </c>
    </row>
    <row r="38" spans="10:17" x14ac:dyDescent="0.25">
      <c r="J38" s="25">
        <f t="shared" si="7"/>
        <v>29</v>
      </c>
      <c r="K38" s="18" t="str">
        <f t="shared" ca="1" si="0"/>
        <v>-</v>
      </c>
      <c r="L38" s="18" t="str">
        <f t="shared" ca="1" si="1"/>
        <v>-</v>
      </c>
      <c r="M38" s="20" t="str">
        <f t="shared" ca="1" si="2"/>
        <v>-</v>
      </c>
      <c r="N38" s="21" t="str">
        <f t="shared" ca="1" si="3"/>
        <v>-</v>
      </c>
      <c r="O38" s="20" t="e">
        <f t="shared" ca="1" si="4"/>
        <v>#N/A</v>
      </c>
      <c r="P38" s="21" t="e">
        <f t="shared" ca="1" si="5"/>
        <v>#N/A</v>
      </c>
      <c r="Q38" s="27" t="str">
        <f t="shared" ca="1" si="6"/>
        <v>- / -</v>
      </c>
    </row>
    <row r="39" spans="10:17" x14ac:dyDescent="0.25">
      <c r="J39" s="25">
        <f t="shared" si="7"/>
        <v>30</v>
      </c>
      <c r="K39" s="18" t="str">
        <f t="shared" ca="1" si="0"/>
        <v>-</v>
      </c>
      <c r="L39" s="18" t="str">
        <f t="shared" ca="1" si="1"/>
        <v>-</v>
      </c>
      <c r="M39" s="20" t="str">
        <f t="shared" ca="1" si="2"/>
        <v>-</v>
      </c>
      <c r="N39" s="21" t="str">
        <f t="shared" ca="1" si="3"/>
        <v>-</v>
      </c>
      <c r="O39" s="20" t="e">
        <f t="shared" ca="1" si="4"/>
        <v>#N/A</v>
      </c>
      <c r="P39" s="21" t="e">
        <f t="shared" ca="1" si="5"/>
        <v>#N/A</v>
      </c>
      <c r="Q39" s="27" t="str">
        <f t="shared" ca="1" si="6"/>
        <v>- / -</v>
      </c>
    </row>
    <row r="40" spans="10:17" x14ac:dyDescent="0.25">
      <c r="J40" s="25">
        <f t="shared" si="7"/>
        <v>31</v>
      </c>
      <c r="K40" s="18" t="str">
        <f t="shared" ca="1" si="0"/>
        <v>-</v>
      </c>
      <c r="L40" s="18" t="str">
        <f t="shared" ca="1" si="1"/>
        <v>-</v>
      </c>
      <c r="M40" s="20" t="str">
        <f t="shared" ca="1" si="2"/>
        <v>-</v>
      </c>
      <c r="N40" s="21" t="str">
        <f t="shared" ca="1" si="3"/>
        <v>-</v>
      </c>
      <c r="O40" s="20" t="e">
        <f t="shared" ca="1" si="4"/>
        <v>#N/A</v>
      </c>
      <c r="P40" s="21" t="e">
        <f t="shared" ca="1" si="5"/>
        <v>#N/A</v>
      </c>
      <c r="Q40" s="27" t="str">
        <f t="shared" ca="1" si="6"/>
        <v>- / -</v>
      </c>
    </row>
    <row r="41" spans="10:17" x14ac:dyDescent="0.25">
      <c r="J41" s="25">
        <f t="shared" si="7"/>
        <v>32</v>
      </c>
      <c r="K41" s="18" t="str">
        <f t="shared" ca="1" si="0"/>
        <v>-</v>
      </c>
      <c r="L41" s="18" t="str">
        <f t="shared" ca="1" si="1"/>
        <v>-</v>
      </c>
      <c r="M41" s="20" t="str">
        <f t="shared" ca="1" si="2"/>
        <v>-</v>
      </c>
      <c r="N41" s="21" t="str">
        <f t="shared" ca="1" si="3"/>
        <v>-</v>
      </c>
      <c r="O41" s="20" t="e">
        <f t="shared" ca="1" si="4"/>
        <v>#N/A</v>
      </c>
      <c r="P41" s="21" t="e">
        <f t="shared" ca="1" si="5"/>
        <v>#N/A</v>
      </c>
      <c r="Q41" s="27" t="str">
        <f t="shared" ca="1" si="6"/>
        <v>- / -</v>
      </c>
    </row>
    <row r="42" spans="10:17" x14ac:dyDescent="0.25">
      <c r="J42" s="25">
        <f t="shared" si="7"/>
        <v>33</v>
      </c>
      <c r="K42" s="18" t="str">
        <f t="shared" ref="K42:K73" ca="1" si="8">IFERROR(IF(INDIRECT("raw!"&amp;$C$6&amp;$J42)&lt;&gt;"",INDIRECT("raw!"&amp;$C$6&amp;$J42),"-"),"")</f>
        <v>-</v>
      </c>
      <c r="L42" s="18" t="str">
        <f t="shared" ref="L42:L73" ca="1" si="9">IFERROR(IF(INDIRECT("raw!"&amp;$C$7&amp;$J42)&lt;&gt;"",INDIRECT("raw!"&amp;$C$7&amp;$J42),"-"),"")</f>
        <v>-</v>
      </c>
      <c r="M42" s="20" t="str">
        <f t="shared" ref="M42:M73" ca="1" si="10">IFERROR(IF(INDIRECT("raw!"&amp;$C$4&amp;$J42)&lt;&gt;"",INDIRECT("raw!"&amp;$C$4&amp;$J42),"-"),"")</f>
        <v>-</v>
      </c>
      <c r="N42" s="21" t="str">
        <f t="shared" ref="N42:N73" ca="1" si="11">IFERROR(IF(INDIRECT("raw!"&amp;$C$5&amp;$J42)&lt;&gt;"",INDIRECT("raw!"&amp;$C$5&amp;$J42),"-"),"")</f>
        <v>-</v>
      </c>
      <c r="O42" s="20" t="e">
        <f t="shared" ca="1" si="4"/>
        <v>#N/A</v>
      </c>
      <c r="P42" s="21" t="e">
        <f t="shared" ca="1" si="5"/>
        <v>#N/A</v>
      </c>
      <c r="Q42" s="27" t="str">
        <f t="shared" ca="1" si="6"/>
        <v>- / -</v>
      </c>
    </row>
    <row r="43" spans="10:17" x14ac:dyDescent="0.25">
      <c r="J43" s="25">
        <f t="shared" si="7"/>
        <v>34</v>
      </c>
      <c r="K43" s="18" t="str">
        <f t="shared" ca="1" si="8"/>
        <v>-</v>
      </c>
      <c r="L43" s="18" t="str">
        <f t="shared" ca="1" si="9"/>
        <v>-</v>
      </c>
      <c r="M43" s="20" t="str">
        <f t="shared" ca="1" si="10"/>
        <v>-</v>
      </c>
      <c r="N43" s="21" t="str">
        <f t="shared" ca="1" si="11"/>
        <v>-</v>
      </c>
      <c r="O43" s="20" t="e">
        <f t="shared" ca="1" si="4"/>
        <v>#N/A</v>
      </c>
      <c r="P43" s="21" t="e">
        <f t="shared" ca="1" si="5"/>
        <v>#N/A</v>
      </c>
      <c r="Q43" s="27" t="str">
        <f t="shared" ca="1" si="6"/>
        <v>- / -</v>
      </c>
    </row>
    <row r="44" spans="10:17" x14ac:dyDescent="0.25">
      <c r="J44" s="25">
        <f t="shared" si="7"/>
        <v>35</v>
      </c>
      <c r="K44" s="18" t="str">
        <f t="shared" ca="1" si="8"/>
        <v>-</v>
      </c>
      <c r="L44" s="18" t="str">
        <f t="shared" ca="1" si="9"/>
        <v>-</v>
      </c>
      <c r="M44" s="20" t="str">
        <f t="shared" ca="1" si="10"/>
        <v>-</v>
      </c>
      <c r="N44" s="21" t="str">
        <f t="shared" ca="1" si="11"/>
        <v>-</v>
      </c>
      <c r="O44" s="20" t="e">
        <f t="shared" ca="1" si="4"/>
        <v>#N/A</v>
      </c>
      <c r="P44" s="21" t="e">
        <f t="shared" ca="1" si="5"/>
        <v>#N/A</v>
      </c>
      <c r="Q44" s="27" t="str">
        <f t="shared" ca="1" si="6"/>
        <v>- / -</v>
      </c>
    </row>
    <row r="45" spans="10:17" x14ac:dyDescent="0.25">
      <c r="J45" s="25">
        <f t="shared" si="7"/>
        <v>36</v>
      </c>
      <c r="K45" s="18" t="str">
        <f t="shared" ca="1" si="8"/>
        <v>-</v>
      </c>
      <c r="L45" s="18" t="str">
        <f t="shared" ca="1" si="9"/>
        <v>-</v>
      </c>
      <c r="M45" s="20" t="str">
        <f t="shared" ca="1" si="10"/>
        <v>-</v>
      </c>
      <c r="N45" s="21" t="str">
        <f t="shared" ca="1" si="11"/>
        <v>-</v>
      </c>
      <c r="O45" s="20" t="e">
        <f t="shared" ca="1" si="4"/>
        <v>#N/A</v>
      </c>
      <c r="P45" s="21" t="e">
        <f t="shared" ca="1" si="5"/>
        <v>#N/A</v>
      </c>
      <c r="Q45" s="27" t="str">
        <f t="shared" ca="1" si="6"/>
        <v>- / -</v>
      </c>
    </row>
    <row r="46" spans="10:17" x14ac:dyDescent="0.25">
      <c r="J46" s="25">
        <f t="shared" si="7"/>
        <v>37</v>
      </c>
      <c r="K46" s="18" t="str">
        <f t="shared" ca="1" si="8"/>
        <v>-</v>
      </c>
      <c r="L46" s="18" t="str">
        <f t="shared" ca="1" si="9"/>
        <v>-</v>
      </c>
      <c r="M46" s="20" t="str">
        <f t="shared" ca="1" si="10"/>
        <v>-</v>
      </c>
      <c r="N46" s="21" t="str">
        <f t="shared" ca="1" si="11"/>
        <v>-</v>
      </c>
      <c r="O46" s="20" t="e">
        <f t="shared" ca="1" si="4"/>
        <v>#N/A</v>
      </c>
      <c r="P46" s="21" t="e">
        <f t="shared" ca="1" si="5"/>
        <v>#N/A</v>
      </c>
      <c r="Q46" s="27" t="str">
        <f t="shared" ca="1" si="6"/>
        <v>- / -</v>
      </c>
    </row>
    <row r="47" spans="10:17" x14ac:dyDescent="0.25">
      <c r="J47" s="25">
        <f t="shared" si="7"/>
        <v>38</v>
      </c>
      <c r="K47" s="18" t="str">
        <f t="shared" ca="1" si="8"/>
        <v>-</v>
      </c>
      <c r="L47" s="18" t="str">
        <f t="shared" ca="1" si="9"/>
        <v>-</v>
      </c>
      <c r="M47" s="20" t="str">
        <f t="shared" ca="1" si="10"/>
        <v>-</v>
      </c>
      <c r="N47" s="21" t="str">
        <f t="shared" ca="1" si="11"/>
        <v>-</v>
      </c>
      <c r="O47" s="20" t="e">
        <f t="shared" ca="1" si="4"/>
        <v>#N/A</v>
      </c>
      <c r="P47" s="21" t="e">
        <f t="shared" ca="1" si="5"/>
        <v>#N/A</v>
      </c>
      <c r="Q47" s="27" t="str">
        <f t="shared" ca="1" si="6"/>
        <v>- / -</v>
      </c>
    </row>
    <row r="48" spans="10:17" x14ac:dyDescent="0.25">
      <c r="J48" s="25">
        <f t="shared" si="7"/>
        <v>39</v>
      </c>
      <c r="K48" s="18" t="str">
        <f t="shared" ca="1" si="8"/>
        <v>-</v>
      </c>
      <c r="L48" s="18" t="str">
        <f t="shared" ca="1" si="9"/>
        <v>-</v>
      </c>
      <c r="M48" s="20" t="str">
        <f t="shared" ca="1" si="10"/>
        <v>-</v>
      </c>
      <c r="N48" s="21" t="str">
        <f t="shared" ca="1" si="11"/>
        <v>-</v>
      </c>
      <c r="O48" s="20" t="e">
        <f t="shared" ca="1" si="4"/>
        <v>#N/A</v>
      </c>
      <c r="P48" s="21" t="e">
        <f t="shared" ca="1" si="5"/>
        <v>#N/A</v>
      </c>
      <c r="Q48" s="27" t="str">
        <f t="shared" ca="1" si="6"/>
        <v>- / -</v>
      </c>
    </row>
    <row r="49" spans="10:17" x14ac:dyDescent="0.25">
      <c r="J49" s="25">
        <f t="shared" si="7"/>
        <v>40</v>
      </c>
      <c r="K49" s="18" t="str">
        <f t="shared" ca="1" si="8"/>
        <v>-</v>
      </c>
      <c r="L49" s="18" t="str">
        <f t="shared" ca="1" si="9"/>
        <v>-</v>
      </c>
      <c r="M49" s="20" t="str">
        <f t="shared" ca="1" si="10"/>
        <v>-</v>
      </c>
      <c r="N49" s="21" t="str">
        <f t="shared" ca="1" si="11"/>
        <v>-</v>
      </c>
      <c r="O49" s="20" t="e">
        <f t="shared" ca="1" si="4"/>
        <v>#N/A</v>
      </c>
      <c r="P49" s="21" t="e">
        <f t="shared" ca="1" si="5"/>
        <v>#N/A</v>
      </c>
      <c r="Q49" s="27" t="str">
        <f t="shared" ca="1" si="6"/>
        <v>- / -</v>
      </c>
    </row>
    <row r="50" spans="10:17" x14ac:dyDescent="0.25">
      <c r="J50" s="25">
        <f t="shared" si="7"/>
        <v>41</v>
      </c>
      <c r="K50" s="18" t="str">
        <f t="shared" ca="1" si="8"/>
        <v>-</v>
      </c>
      <c r="L50" s="18" t="str">
        <f t="shared" ca="1" si="9"/>
        <v>-</v>
      </c>
      <c r="M50" s="20" t="str">
        <f t="shared" ca="1" si="10"/>
        <v>-</v>
      </c>
      <c r="N50" s="21" t="str">
        <f t="shared" ca="1" si="11"/>
        <v>-</v>
      </c>
      <c r="O50" s="20" t="e">
        <f t="shared" ca="1" si="4"/>
        <v>#N/A</v>
      </c>
      <c r="P50" s="21" t="e">
        <f t="shared" ca="1" si="5"/>
        <v>#N/A</v>
      </c>
      <c r="Q50" s="27" t="str">
        <f t="shared" ca="1" si="6"/>
        <v>- / -</v>
      </c>
    </row>
    <row r="51" spans="10:17" x14ac:dyDescent="0.25">
      <c r="J51" s="25">
        <f t="shared" si="7"/>
        <v>42</v>
      </c>
      <c r="K51" s="18" t="str">
        <f t="shared" ca="1" si="8"/>
        <v>-</v>
      </c>
      <c r="L51" s="18" t="str">
        <f t="shared" ca="1" si="9"/>
        <v>-</v>
      </c>
      <c r="M51" s="20" t="str">
        <f t="shared" ca="1" si="10"/>
        <v>-</v>
      </c>
      <c r="N51" s="21" t="str">
        <f t="shared" ca="1" si="11"/>
        <v>-</v>
      </c>
      <c r="O51" s="20" t="e">
        <f t="shared" ca="1" si="4"/>
        <v>#N/A</v>
      </c>
      <c r="P51" s="21" t="e">
        <f t="shared" ca="1" si="5"/>
        <v>#N/A</v>
      </c>
      <c r="Q51" s="27" t="str">
        <f t="shared" ca="1" si="6"/>
        <v>- / -</v>
      </c>
    </row>
    <row r="52" spans="10:17" x14ac:dyDescent="0.25">
      <c r="J52" s="25">
        <f t="shared" si="7"/>
        <v>43</v>
      </c>
      <c r="K52" s="18" t="str">
        <f t="shared" ca="1" si="8"/>
        <v>-</v>
      </c>
      <c r="L52" s="18" t="str">
        <f t="shared" ca="1" si="9"/>
        <v>-</v>
      </c>
      <c r="M52" s="20" t="str">
        <f t="shared" ca="1" si="10"/>
        <v>-</v>
      </c>
      <c r="N52" s="21" t="str">
        <f t="shared" ca="1" si="11"/>
        <v>-</v>
      </c>
      <c r="O52" s="20" t="e">
        <f t="shared" ca="1" si="4"/>
        <v>#N/A</v>
      </c>
      <c r="P52" s="21" t="e">
        <f t="shared" ca="1" si="5"/>
        <v>#N/A</v>
      </c>
      <c r="Q52" s="27" t="str">
        <f t="shared" ca="1" si="6"/>
        <v>- / -</v>
      </c>
    </row>
    <row r="53" spans="10:17" x14ac:dyDescent="0.25">
      <c r="J53" s="25">
        <f t="shared" si="7"/>
        <v>44</v>
      </c>
      <c r="K53" s="18" t="str">
        <f t="shared" ca="1" si="8"/>
        <v>-</v>
      </c>
      <c r="L53" s="18" t="str">
        <f t="shared" ca="1" si="9"/>
        <v>-</v>
      </c>
      <c r="M53" s="20" t="str">
        <f t="shared" ca="1" si="10"/>
        <v>-</v>
      </c>
      <c r="N53" s="21" t="str">
        <f t="shared" ca="1" si="11"/>
        <v>-</v>
      </c>
      <c r="O53" s="20" t="e">
        <f t="shared" ca="1" si="4"/>
        <v>#N/A</v>
      </c>
      <c r="P53" s="21" t="e">
        <f t="shared" ca="1" si="5"/>
        <v>#N/A</v>
      </c>
      <c r="Q53" s="27" t="str">
        <f t="shared" ca="1" si="6"/>
        <v>- / -</v>
      </c>
    </row>
    <row r="54" spans="10:17" x14ac:dyDescent="0.25">
      <c r="J54" s="25">
        <f t="shared" si="7"/>
        <v>45</v>
      </c>
      <c r="K54" s="18" t="str">
        <f t="shared" ca="1" si="8"/>
        <v>-</v>
      </c>
      <c r="L54" s="18" t="str">
        <f t="shared" ca="1" si="9"/>
        <v>-</v>
      </c>
      <c r="M54" s="20" t="str">
        <f t="shared" ca="1" si="10"/>
        <v>-</v>
      </c>
      <c r="N54" s="21" t="str">
        <f t="shared" ca="1" si="11"/>
        <v>-</v>
      </c>
      <c r="O54" s="20" t="e">
        <f t="shared" ca="1" si="4"/>
        <v>#N/A</v>
      </c>
      <c r="P54" s="21" t="e">
        <f t="shared" ca="1" si="5"/>
        <v>#N/A</v>
      </c>
      <c r="Q54" s="27" t="str">
        <f t="shared" ca="1" si="6"/>
        <v>- / -</v>
      </c>
    </row>
    <row r="55" spans="10:17" x14ac:dyDescent="0.25">
      <c r="J55" s="25">
        <f t="shared" si="7"/>
        <v>46</v>
      </c>
      <c r="K55" s="18" t="str">
        <f t="shared" ca="1" si="8"/>
        <v>-</v>
      </c>
      <c r="L55" s="18" t="str">
        <f t="shared" ca="1" si="9"/>
        <v>-</v>
      </c>
      <c r="M55" s="20" t="str">
        <f t="shared" ca="1" si="10"/>
        <v>-</v>
      </c>
      <c r="N55" s="21" t="str">
        <f t="shared" ca="1" si="11"/>
        <v>-</v>
      </c>
      <c r="O55" s="20" t="e">
        <f t="shared" ca="1" si="4"/>
        <v>#N/A</v>
      </c>
      <c r="P55" s="21" t="e">
        <f t="shared" ca="1" si="5"/>
        <v>#N/A</v>
      </c>
      <c r="Q55" s="27" t="str">
        <f t="shared" ca="1" si="6"/>
        <v>- / -</v>
      </c>
    </row>
    <row r="56" spans="10:17" x14ac:dyDescent="0.25">
      <c r="J56" s="25">
        <f t="shared" si="7"/>
        <v>47</v>
      </c>
      <c r="K56" s="18" t="str">
        <f t="shared" ca="1" si="8"/>
        <v>-</v>
      </c>
      <c r="L56" s="18" t="str">
        <f t="shared" ca="1" si="9"/>
        <v>-</v>
      </c>
      <c r="M56" s="20" t="str">
        <f t="shared" ca="1" si="10"/>
        <v>-</v>
      </c>
      <c r="N56" s="21" t="str">
        <f t="shared" ca="1" si="11"/>
        <v>-</v>
      </c>
      <c r="O56" s="20" t="e">
        <f t="shared" ca="1" si="4"/>
        <v>#N/A</v>
      </c>
      <c r="P56" s="21" t="e">
        <f t="shared" ca="1" si="5"/>
        <v>#N/A</v>
      </c>
      <c r="Q56" s="27" t="str">
        <f t="shared" ca="1" si="6"/>
        <v>- / -</v>
      </c>
    </row>
    <row r="57" spans="10:17" x14ac:dyDescent="0.25">
      <c r="J57" s="25">
        <f t="shared" si="7"/>
        <v>48</v>
      </c>
      <c r="K57" s="18" t="str">
        <f t="shared" ca="1" si="8"/>
        <v>-</v>
      </c>
      <c r="L57" s="18" t="str">
        <f t="shared" ca="1" si="9"/>
        <v>-</v>
      </c>
      <c r="M57" s="20" t="str">
        <f t="shared" ca="1" si="10"/>
        <v>-</v>
      </c>
      <c r="N57" s="21" t="str">
        <f t="shared" ca="1" si="11"/>
        <v>-</v>
      </c>
      <c r="O57" s="20" t="e">
        <f t="shared" ca="1" si="4"/>
        <v>#N/A</v>
      </c>
      <c r="P57" s="21" t="e">
        <f t="shared" ca="1" si="5"/>
        <v>#N/A</v>
      </c>
      <c r="Q57" s="27" t="str">
        <f t="shared" ca="1" si="6"/>
        <v>- / -</v>
      </c>
    </row>
    <row r="58" spans="10:17" x14ac:dyDescent="0.25">
      <c r="J58" s="25">
        <f t="shared" si="7"/>
        <v>49</v>
      </c>
      <c r="K58" s="18" t="str">
        <f t="shared" ca="1" si="8"/>
        <v>-</v>
      </c>
      <c r="L58" s="18" t="str">
        <f t="shared" ca="1" si="9"/>
        <v>-</v>
      </c>
      <c r="M58" s="20" t="str">
        <f t="shared" ca="1" si="10"/>
        <v>-</v>
      </c>
      <c r="N58" s="21" t="str">
        <f t="shared" ca="1" si="11"/>
        <v>-</v>
      </c>
      <c r="O58" s="20" t="e">
        <f t="shared" ca="1" si="4"/>
        <v>#N/A</v>
      </c>
      <c r="P58" s="21" t="e">
        <f t="shared" ca="1" si="5"/>
        <v>#N/A</v>
      </c>
      <c r="Q58" s="27" t="str">
        <f t="shared" ca="1" si="6"/>
        <v>- / -</v>
      </c>
    </row>
    <row r="59" spans="10:17" x14ac:dyDescent="0.25">
      <c r="J59" s="25">
        <f t="shared" si="7"/>
        <v>50</v>
      </c>
      <c r="K59" s="18" t="str">
        <f t="shared" ca="1" si="8"/>
        <v>-</v>
      </c>
      <c r="L59" s="18" t="str">
        <f t="shared" ca="1" si="9"/>
        <v>-</v>
      </c>
      <c r="M59" s="20" t="str">
        <f t="shared" ca="1" si="10"/>
        <v>-</v>
      </c>
      <c r="N59" s="21" t="str">
        <f t="shared" ca="1" si="11"/>
        <v>-</v>
      </c>
      <c r="O59" s="20" t="e">
        <f t="shared" ca="1" si="4"/>
        <v>#N/A</v>
      </c>
      <c r="P59" s="21" t="e">
        <f t="shared" ca="1" si="5"/>
        <v>#N/A</v>
      </c>
      <c r="Q59" s="27" t="str">
        <f t="shared" ca="1" si="6"/>
        <v>- / -</v>
      </c>
    </row>
    <row r="60" spans="10:17" x14ac:dyDescent="0.25">
      <c r="J60" s="25">
        <f t="shared" si="7"/>
        <v>51</v>
      </c>
      <c r="K60" s="18" t="str">
        <f t="shared" ca="1" si="8"/>
        <v>-</v>
      </c>
      <c r="L60" s="18" t="str">
        <f t="shared" ca="1" si="9"/>
        <v>-</v>
      </c>
      <c r="M60" s="20" t="str">
        <f t="shared" ca="1" si="10"/>
        <v>-</v>
      </c>
      <c r="N60" s="21" t="str">
        <f t="shared" ca="1" si="11"/>
        <v>-</v>
      </c>
      <c r="O60" s="20" t="e">
        <f t="shared" ca="1" si="4"/>
        <v>#N/A</v>
      </c>
      <c r="P60" s="21" t="e">
        <f t="shared" ca="1" si="5"/>
        <v>#N/A</v>
      </c>
      <c r="Q60" s="27" t="str">
        <f t="shared" ca="1" si="6"/>
        <v>- / -</v>
      </c>
    </row>
    <row r="61" spans="10:17" x14ac:dyDescent="0.25">
      <c r="J61" s="25">
        <f t="shared" si="7"/>
        <v>52</v>
      </c>
      <c r="K61" s="18" t="str">
        <f t="shared" ca="1" si="8"/>
        <v>-</v>
      </c>
      <c r="L61" s="18" t="str">
        <f t="shared" ca="1" si="9"/>
        <v>-</v>
      </c>
      <c r="M61" s="20" t="str">
        <f t="shared" ca="1" si="10"/>
        <v>-</v>
      </c>
      <c r="N61" s="21" t="str">
        <f t="shared" ca="1" si="11"/>
        <v>-</v>
      </c>
      <c r="O61" s="20" t="e">
        <f t="shared" ca="1" si="4"/>
        <v>#N/A</v>
      </c>
      <c r="P61" s="21" t="e">
        <f t="shared" ca="1" si="5"/>
        <v>#N/A</v>
      </c>
      <c r="Q61" s="27" t="str">
        <f t="shared" ca="1" si="6"/>
        <v>- / -</v>
      </c>
    </row>
    <row r="62" spans="10:17" x14ac:dyDescent="0.25">
      <c r="J62" s="25">
        <f t="shared" si="7"/>
        <v>53</v>
      </c>
      <c r="K62" s="18" t="str">
        <f t="shared" ca="1" si="8"/>
        <v>-</v>
      </c>
      <c r="L62" s="18" t="str">
        <f t="shared" ca="1" si="9"/>
        <v>-</v>
      </c>
      <c r="M62" s="20" t="str">
        <f t="shared" ca="1" si="10"/>
        <v>-</v>
      </c>
      <c r="N62" s="21" t="str">
        <f t="shared" ca="1" si="11"/>
        <v>-</v>
      </c>
      <c r="O62" s="20" t="e">
        <f t="shared" ca="1" si="4"/>
        <v>#N/A</v>
      </c>
      <c r="P62" s="21" t="e">
        <f t="shared" ca="1" si="5"/>
        <v>#N/A</v>
      </c>
      <c r="Q62" s="27" t="str">
        <f t="shared" ca="1" si="6"/>
        <v>- / -</v>
      </c>
    </row>
    <row r="63" spans="10:17" x14ac:dyDescent="0.25">
      <c r="J63" s="25">
        <f t="shared" si="7"/>
        <v>54</v>
      </c>
      <c r="K63" s="18" t="str">
        <f t="shared" ca="1" si="8"/>
        <v>-</v>
      </c>
      <c r="L63" s="18" t="str">
        <f t="shared" ca="1" si="9"/>
        <v>-</v>
      </c>
      <c r="M63" s="20" t="str">
        <f t="shared" ca="1" si="10"/>
        <v>-</v>
      </c>
      <c r="N63" s="21" t="str">
        <f t="shared" ca="1" si="11"/>
        <v>-</v>
      </c>
      <c r="O63" s="20" t="e">
        <f t="shared" ca="1" si="4"/>
        <v>#N/A</v>
      </c>
      <c r="P63" s="21" t="e">
        <f t="shared" ca="1" si="5"/>
        <v>#N/A</v>
      </c>
      <c r="Q63" s="27" t="str">
        <f t="shared" ca="1" si="6"/>
        <v>- / -</v>
      </c>
    </row>
    <row r="64" spans="10:17" x14ac:dyDescent="0.25">
      <c r="J64" s="25">
        <f t="shared" si="7"/>
        <v>55</v>
      </c>
      <c r="K64" s="18" t="str">
        <f t="shared" ca="1" si="8"/>
        <v>-</v>
      </c>
      <c r="L64" s="18" t="str">
        <f t="shared" ca="1" si="9"/>
        <v>-</v>
      </c>
      <c r="M64" s="20" t="str">
        <f t="shared" ca="1" si="10"/>
        <v>-</v>
      </c>
      <c r="N64" s="21" t="str">
        <f t="shared" ca="1" si="11"/>
        <v>-</v>
      </c>
      <c r="O64" s="20" t="e">
        <f t="shared" ca="1" si="4"/>
        <v>#N/A</v>
      </c>
      <c r="P64" s="21" t="e">
        <f t="shared" ca="1" si="5"/>
        <v>#N/A</v>
      </c>
      <c r="Q64" s="27" t="str">
        <f t="shared" ca="1" si="6"/>
        <v>- / -</v>
      </c>
    </row>
    <row r="65" spans="10:17" x14ac:dyDescent="0.25">
      <c r="J65" s="25">
        <f t="shared" si="7"/>
        <v>56</v>
      </c>
      <c r="K65" s="18" t="str">
        <f t="shared" ca="1" si="8"/>
        <v>-</v>
      </c>
      <c r="L65" s="18" t="str">
        <f t="shared" ca="1" si="9"/>
        <v>-</v>
      </c>
      <c r="M65" s="20" t="str">
        <f t="shared" ca="1" si="10"/>
        <v>-</v>
      </c>
      <c r="N65" s="21" t="str">
        <f t="shared" ca="1" si="11"/>
        <v>-</v>
      </c>
      <c r="O65" s="20" t="e">
        <f t="shared" ca="1" si="4"/>
        <v>#N/A</v>
      </c>
      <c r="P65" s="21" t="e">
        <f t="shared" ca="1" si="5"/>
        <v>#N/A</v>
      </c>
      <c r="Q65" s="27" t="str">
        <f t="shared" ca="1" si="6"/>
        <v>- / -</v>
      </c>
    </row>
    <row r="66" spans="10:17" x14ac:dyDescent="0.25">
      <c r="J66" s="25">
        <f t="shared" si="7"/>
        <v>57</v>
      </c>
      <c r="K66" s="18" t="str">
        <f t="shared" ca="1" si="8"/>
        <v>-</v>
      </c>
      <c r="L66" s="18" t="str">
        <f t="shared" ca="1" si="9"/>
        <v>-</v>
      </c>
      <c r="M66" s="20" t="str">
        <f t="shared" ca="1" si="10"/>
        <v>-</v>
      </c>
      <c r="N66" s="21" t="str">
        <f t="shared" ca="1" si="11"/>
        <v>-</v>
      </c>
      <c r="O66" s="20" t="e">
        <f t="shared" ca="1" si="4"/>
        <v>#N/A</v>
      </c>
      <c r="P66" s="21" t="e">
        <f t="shared" ca="1" si="5"/>
        <v>#N/A</v>
      </c>
      <c r="Q66" s="27" t="str">
        <f t="shared" ca="1" si="6"/>
        <v>- / -</v>
      </c>
    </row>
    <row r="67" spans="10:17" x14ac:dyDescent="0.25">
      <c r="J67" s="25">
        <f t="shared" si="7"/>
        <v>58</v>
      </c>
      <c r="K67" s="18" t="str">
        <f t="shared" ca="1" si="8"/>
        <v>-</v>
      </c>
      <c r="L67" s="18" t="str">
        <f t="shared" ca="1" si="9"/>
        <v>-</v>
      </c>
      <c r="M67" s="20" t="str">
        <f t="shared" ca="1" si="10"/>
        <v>-</v>
      </c>
      <c r="N67" s="21" t="str">
        <f t="shared" ca="1" si="11"/>
        <v>-</v>
      </c>
      <c r="O67" s="20" t="e">
        <f t="shared" ca="1" si="4"/>
        <v>#N/A</v>
      </c>
      <c r="P67" s="21" t="e">
        <f t="shared" ca="1" si="5"/>
        <v>#N/A</v>
      </c>
      <c r="Q67" s="27" t="str">
        <f t="shared" ca="1" si="6"/>
        <v>- / -</v>
      </c>
    </row>
    <row r="68" spans="10:17" x14ac:dyDescent="0.25">
      <c r="J68" s="25">
        <f t="shared" si="7"/>
        <v>59</v>
      </c>
      <c r="K68" s="18" t="str">
        <f t="shared" ca="1" si="8"/>
        <v>-</v>
      </c>
      <c r="L68" s="18" t="str">
        <f t="shared" ca="1" si="9"/>
        <v>-</v>
      </c>
      <c r="M68" s="20" t="str">
        <f t="shared" ca="1" si="10"/>
        <v>-</v>
      </c>
      <c r="N68" s="21" t="str">
        <f t="shared" ca="1" si="11"/>
        <v>-</v>
      </c>
      <c r="O68" s="20" t="e">
        <f t="shared" ca="1" si="4"/>
        <v>#N/A</v>
      </c>
      <c r="P68" s="21" t="e">
        <f t="shared" ca="1" si="5"/>
        <v>#N/A</v>
      </c>
      <c r="Q68" s="27" t="str">
        <f t="shared" ca="1" si="6"/>
        <v>- / -</v>
      </c>
    </row>
    <row r="69" spans="10:17" x14ac:dyDescent="0.25">
      <c r="J69" s="25">
        <f t="shared" si="7"/>
        <v>60</v>
      </c>
      <c r="K69" s="18" t="str">
        <f t="shared" ca="1" si="8"/>
        <v>-</v>
      </c>
      <c r="L69" s="18" t="str">
        <f t="shared" ca="1" si="9"/>
        <v>-</v>
      </c>
      <c r="M69" s="20" t="str">
        <f t="shared" ca="1" si="10"/>
        <v>-</v>
      </c>
      <c r="N69" s="21" t="str">
        <f t="shared" ca="1" si="11"/>
        <v>-</v>
      </c>
      <c r="O69" s="20" t="e">
        <f t="shared" ca="1" si="4"/>
        <v>#N/A</v>
      </c>
      <c r="P69" s="21" t="e">
        <f t="shared" ca="1" si="5"/>
        <v>#N/A</v>
      </c>
      <c r="Q69" s="27" t="str">
        <f t="shared" ca="1" si="6"/>
        <v>- / -</v>
      </c>
    </row>
    <row r="70" spans="10:17" x14ac:dyDescent="0.25">
      <c r="J70" s="25">
        <f t="shared" si="7"/>
        <v>61</v>
      </c>
      <c r="K70" s="18" t="str">
        <f t="shared" ca="1" si="8"/>
        <v>-</v>
      </c>
      <c r="L70" s="18" t="str">
        <f t="shared" ca="1" si="9"/>
        <v>-</v>
      </c>
      <c r="M70" s="20" t="str">
        <f t="shared" ca="1" si="10"/>
        <v>-</v>
      </c>
      <c r="N70" s="21" t="str">
        <f t="shared" ca="1" si="11"/>
        <v>-</v>
      </c>
      <c r="O70" s="20" t="e">
        <f t="shared" ca="1" si="4"/>
        <v>#N/A</v>
      </c>
      <c r="P70" s="21" t="e">
        <f t="shared" ca="1" si="5"/>
        <v>#N/A</v>
      </c>
      <c r="Q70" s="27" t="str">
        <f t="shared" ca="1" si="6"/>
        <v>- / -</v>
      </c>
    </row>
    <row r="71" spans="10:17" x14ac:dyDescent="0.25">
      <c r="J71" s="25">
        <f t="shared" si="7"/>
        <v>62</v>
      </c>
      <c r="K71" s="18" t="str">
        <f t="shared" ca="1" si="8"/>
        <v>-</v>
      </c>
      <c r="L71" s="18" t="str">
        <f t="shared" ca="1" si="9"/>
        <v>-</v>
      </c>
      <c r="M71" s="20" t="str">
        <f t="shared" ca="1" si="10"/>
        <v>-</v>
      </c>
      <c r="N71" s="21" t="str">
        <f t="shared" ca="1" si="11"/>
        <v>-</v>
      </c>
      <c r="O71" s="20" t="e">
        <f t="shared" ca="1" si="4"/>
        <v>#N/A</v>
      </c>
      <c r="P71" s="21" t="e">
        <f t="shared" ca="1" si="5"/>
        <v>#N/A</v>
      </c>
      <c r="Q71" s="27" t="str">
        <f t="shared" ca="1" si="6"/>
        <v>- / -</v>
      </c>
    </row>
    <row r="72" spans="10:17" x14ac:dyDescent="0.25">
      <c r="J72" s="25">
        <f t="shared" si="7"/>
        <v>63</v>
      </c>
      <c r="K72" s="18" t="str">
        <f t="shared" ca="1" si="8"/>
        <v>-</v>
      </c>
      <c r="L72" s="18" t="str">
        <f t="shared" ca="1" si="9"/>
        <v>-</v>
      </c>
      <c r="M72" s="20" t="str">
        <f t="shared" ca="1" si="10"/>
        <v>-</v>
      </c>
      <c r="N72" s="21" t="str">
        <f t="shared" ca="1" si="11"/>
        <v>-</v>
      </c>
      <c r="O72" s="20" t="e">
        <f t="shared" ca="1" si="4"/>
        <v>#N/A</v>
      </c>
      <c r="P72" s="21" t="e">
        <f t="shared" ca="1" si="5"/>
        <v>#N/A</v>
      </c>
      <c r="Q72" s="27" t="str">
        <f t="shared" ca="1" si="6"/>
        <v>- / -</v>
      </c>
    </row>
    <row r="73" spans="10:17" x14ac:dyDescent="0.25">
      <c r="J73" s="25">
        <f t="shared" si="7"/>
        <v>64</v>
      </c>
      <c r="K73" s="18" t="str">
        <f t="shared" ca="1" si="8"/>
        <v>-</v>
      </c>
      <c r="L73" s="18" t="str">
        <f t="shared" ca="1" si="9"/>
        <v>-</v>
      </c>
      <c r="M73" s="20" t="str">
        <f t="shared" ca="1" si="10"/>
        <v>-</v>
      </c>
      <c r="N73" s="21" t="str">
        <f t="shared" ca="1" si="11"/>
        <v>-</v>
      </c>
      <c r="O73" s="20" t="e">
        <f t="shared" ca="1" si="4"/>
        <v>#N/A</v>
      </c>
      <c r="P73" s="21" t="e">
        <f t="shared" ca="1" si="5"/>
        <v>#N/A</v>
      </c>
      <c r="Q73" s="27" t="str">
        <f t="shared" ca="1" si="6"/>
        <v>- / -</v>
      </c>
    </row>
    <row r="74" spans="10:17" x14ac:dyDescent="0.25">
      <c r="J74" s="25">
        <f t="shared" si="7"/>
        <v>65</v>
      </c>
      <c r="K74" s="18" t="str">
        <f t="shared" ref="K74:K105" ca="1" si="12">IFERROR(IF(INDIRECT("raw!"&amp;$C$6&amp;$J74)&lt;&gt;"",INDIRECT("raw!"&amp;$C$6&amp;$J74),"-"),"")</f>
        <v>-</v>
      </c>
      <c r="L74" s="18" t="str">
        <f t="shared" ref="L74:L105" ca="1" si="13">IFERROR(IF(INDIRECT("raw!"&amp;$C$7&amp;$J74)&lt;&gt;"",INDIRECT("raw!"&amp;$C$7&amp;$J74),"-"),"")</f>
        <v>-</v>
      </c>
      <c r="M74" s="20" t="str">
        <f t="shared" ref="M74:M105" ca="1" si="14">IFERROR(IF(INDIRECT("raw!"&amp;$C$4&amp;$J74)&lt;&gt;"",INDIRECT("raw!"&amp;$C$4&amp;$J74),"-"),"")</f>
        <v>-</v>
      </c>
      <c r="N74" s="21" t="str">
        <f t="shared" ref="N74:N105" ca="1" si="15">IFERROR(IF(INDIRECT("raw!"&amp;$C$5&amp;$J74)&lt;&gt;"",INDIRECT("raw!"&amp;$C$5&amp;$J74),"-"),"")</f>
        <v>-</v>
      </c>
      <c r="O74" s="20" t="e">
        <f t="shared" ca="1" si="4"/>
        <v>#N/A</v>
      </c>
      <c r="P74" s="21" t="e">
        <f t="shared" ca="1" si="5"/>
        <v>#N/A</v>
      </c>
      <c r="Q74" s="27" t="str">
        <f t="shared" ca="1" si="6"/>
        <v>- / -</v>
      </c>
    </row>
    <row r="75" spans="10:17" x14ac:dyDescent="0.25">
      <c r="J75" s="25">
        <f t="shared" si="7"/>
        <v>66</v>
      </c>
      <c r="K75" s="18" t="str">
        <f t="shared" ca="1" si="12"/>
        <v>-</v>
      </c>
      <c r="L75" s="18" t="str">
        <f t="shared" ca="1" si="13"/>
        <v>-</v>
      </c>
      <c r="M75" s="20" t="str">
        <f t="shared" ca="1" si="14"/>
        <v>-</v>
      </c>
      <c r="N75" s="21" t="str">
        <f t="shared" ca="1" si="15"/>
        <v>-</v>
      </c>
      <c r="O75" s="20" t="e">
        <f t="shared" ca="1" si="4"/>
        <v>#N/A</v>
      </c>
      <c r="P75" s="21" t="e">
        <f t="shared" ca="1" si="5"/>
        <v>#N/A</v>
      </c>
      <c r="Q75" s="27" t="str">
        <f t="shared" ca="1" si="6"/>
        <v>- / -</v>
      </c>
    </row>
    <row r="76" spans="10:17" x14ac:dyDescent="0.25">
      <c r="J76" s="25">
        <f t="shared" si="7"/>
        <v>67</v>
      </c>
      <c r="K76" s="18" t="str">
        <f t="shared" ca="1" si="12"/>
        <v>-</v>
      </c>
      <c r="L76" s="18" t="str">
        <f t="shared" ca="1" si="13"/>
        <v>-</v>
      </c>
      <c r="M76" s="20" t="str">
        <f t="shared" ca="1" si="14"/>
        <v>-</v>
      </c>
      <c r="N76" s="21" t="str">
        <f t="shared" ca="1" si="15"/>
        <v>-</v>
      </c>
      <c r="O76" s="20" t="e">
        <f t="shared" ref="O76:O139" ca="1" si="16">VALUE(IFERROR(M76-IF($E$4="Incremental",INDEX($K$11:$N$164,MATCH(K76,$K$11:$K$164,),3),0),NA()))</f>
        <v>#N/A</v>
      </c>
      <c r="P76" s="21" t="e">
        <f t="shared" ref="P76:P139" ca="1" si="17">IFERROR(N76-IF($E$5="Incremental",INDEX($K$11:$N$164,MATCH(K76,$K$11:$K$164,),4),0),NA())</f>
        <v>#N/A</v>
      </c>
      <c r="Q76" s="27" t="str">
        <f t="shared" ref="Q76:Q139" ca="1" si="18">K76&amp;" / "&amp;L76</f>
        <v>- / -</v>
      </c>
    </row>
    <row r="77" spans="10:17" x14ac:dyDescent="0.25">
      <c r="J77" s="25">
        <f t="shared" ref="J77:J140" si="19">J76+1</f>
        <v>68</v>
      </c>
      <c r="K77" s="18" t="str">
        <f t="shared" ca="1" si="12"/>
        <v>-</v>
      </c>
      <c r="L77" s="18" t="str">
        <f t="shared" ca="1" si="13"/>
        <v>-</v>
      </c>
      <c r="M77" s="20" t="str">
        <f t="shared" ca="1" si="14"/>
        <v>-</v>
      </c>
      <c r="N77" s="21" t="str">
        <f t="shared" ca="1" si="15"/>
        <v>-</v>
      </c>
      <c r="O77" s="20" t="e">
        <f t="shared" ca="1" si="16"/>
        <v>#N/A</v>
      </c>
      <c r="P77" s="21" t="e">
        <f t="shared" ca="1" si="17"/>
        <v>#N/A</v>
      </c>
      <c r="Q77" s="27" t="str">
        <f t="shared" ca="1" si="18"/>
        <v>- / -</v>
      </c>
    </row>
    <row r="78" spans="10:17" x14ac:dyDescent="0.25">
      <c r="J78" s="25">
        <f t="shared" si="19"/>
        <v>69</v>
      </c>
      <c r="K78" s="18" t="str">
        <f t="shared" ca="1" si="12"/>
        <v>-</v>
      </c>
      <c r="L78" s="18" t="str">
        <f t="shared" ca="1" si="13"/>
        <v>-</v>
      </c>
      <c r="M78" s="20" t="str">
        <f t="shared" ca="1" si="14"/>
        <v>-</v>
      </c>
      <c r="N78" s="21" t="str">
        <f t="shared" ca="1" si="15"/>
        <v>-</v>
      </c>
      <c r="O78" s="20" t="e">
        <f t="shared" ca="1" si="16"/>
        <v>#N/A</v>
      </c>
      <c r="P78" s="21" t="e">
        <f t="shared" ca="1" si="17"/>
        <v>#N/A</v>
      </c>
      <c r="Q78" s="27" t="str">
        <f t="shared" ca="1" si="18"/>
        <v>- / -</v>
      </c>
    </row>
    <row r="79" spans="10:17" x14ac:dyDescent="0.25">
      <c r="J79" s="25">
        <f t="shared" si="19"/>
        <v>70</v>
      </c>
      <c r="K79" s="18" t="str">
        <f t="shared" ca="1" si="12"/>
        <v>-</v>
      </c>
      <c r="L79" s="18" t="str">
        <f t="shared" ca="1" si="13"/>
        <v>-</v>
      </c>
      <c r="M79" s="20" t="str">
        <f t="shared" ca="1" si="14"/>
        <v>-</v>
      </c>
      <c r="N79" s="21" t="str">
        <f t="shared" ca="1" si="15"/>
        <v>-</v>
      </c>
      <c r="O79" s="20" t="e">
        <f t="shared" ca="1" si="16"/>
        <v>#N/A</v>
      </c>
      <c r="P79" s="21" t="e">
        <f t="shared" ca="1" si="17"/>
        <v>#N/A</v>
      </c>
      <c r="Q79" s="27" t="str">
        <f t="shared" ca="1" si="18"/>
        <v>- / -</v>
      </c>
    </row>
    <row r="80" spans="10:17" x14ac:dyDescent="0.25">
      <c r="J80" s="25">
        <f t="shared" si="19"/>
        <v>71</v>
      </c>
      <c r="K80" s="18" t="str">
        <f t="shared" ca="1" si="12"/>
        <v>-</v>
      </c>
      <c r="L80" s="18" t="str">
        <f t="shared" ca="1" si="13"/>
        <v>-</v>
      </c>
      <c r="M80" s="20" t="str">
        <f t="shared" ca="1" si="14"/>
        <v>-</v>
      </c>
      <c r="N80" s="21" t="str">
        <f t="shared" ca="1" si="15"/>
        <v>-</v>
      </c>
      <c r="O80" s="20" t="e">
        <f t="shared" ca="1" si="16"/>
        <v>#N/A</v>
      </c>
      <c r="P80" s="21" t="e">
        <f t="shared" ca="1" si="17"/>
        <v>#N/A</v>
      </c>
      <c r="Q80" s="27" t="str">
        <f t="shared" ca="1" si="18"/>
        <v>- / -</v>
      </c>
    </row>
    <row r="81" spans="10:17" x14ac:dyDescent="0.25">
      <c r="J81" s="25">
        <f t="shared" si="19"/>
        <v>72</v>
      </c>
      <c r="K81" s="18" t="str">
        <f t="shared" ca="1" si="12"/>
        <v>-</v>
      </c>
      <c r="L81" s="18" t="str">
        <f t="shared" ca="1" si="13"/>
        <v>-</v>
      </c>
      <c r="M81" s="20" t="str">
        <f t="shared" ca="1" si="14"/>
        <v>-</v>
      </c>
      <c r="N81" s="21" t="str">
        <f t="shared" ca="1" si="15"/>
        <v>-</v>
      </c>
      <c r="O81" s="20" t="e">
        <f t="shared" ca="1" si="16"/>
        <v>#N/A</v>
      </c>
      <c r="P81" s="21" t="e">
        <f t="shared" ca="1" si="17"/>
        <v>#N/A</v>
      </c>
      <c r="Q81" s="27" t="str">
        <f t="shared" ca="1" si="18"/>
        <v>- / -</v>
      </c>
    </row>
    <row r="82" spans="10:17" x14ac:dyDescent="0.25">
      <c r="J82" s="25">
        <f t="shared" si="19"/>
        <v>73</v>
      </c>
      <c r="K82" s="18" t="str">
        <f t="shared" ca="1" si="12"/>
        <v>-</v>
      </c>
      <c r="L82" s="18" t="str">
        <f t="shared" ca="1" si="13"/>
        <v>-</v>
      </c>
      <c r="M82" s="20" t="str">
        <f t="shared" ca="1" si="14"/>
        <v>-</v>
      </c>
      <c r="N82" s="21" t="str">
        <f t="shared" ca="1" si="15"/>
        <v>-</v>
      </c>
      <c r="O82" s="20" t="e">
        <f t="shared" ca="1" si="16"/>
        <v>#N/A</v>
      </c>
      <c r="P82" s="21" t="e">
        <f t="shared" ca="1" si="17"/>
        <v>#N/A</v>
      </c>
      <c r="Q82" s="27" t="str">
        <f t="shared" ca="1" si="18"/>
        <v>- / -</v>
      </c>
    </row>
    <row r="83" spans="10:17" x14ac:dyDescent="0.25">
      <c r="J83" s="25">
        <f t="shared" si="19"/>
        <v>74</v>
      </c>
      <c r="K83" s="18" t="str">
        <f t="shared" ca="1" si="12"/>
        <v>-</v>
      </c>
      <c r="L83" s="18" t="str">
        <f t="shared" ca="1" si="13"/>
        <v>-</v>
      </c>
      <c r="M83" s="20" t="str">
        <f t="shared" ca="1" si="14"/>
        <v>-</v>
      </c>
      <c r="N83" s="21" t="str">
        <f t="shared" ca="1" si="15"/>
        <v>-</v>
      </c>
      <c r="O83" s="20" t="e">
        <f t="shared" ca="1" si="16"/>
        <v>#N/A</v>
      </c>
      <c r="P83" s="21" t="e">
        <f t="shared" ca="1" si="17"/>
        <v>#N/A</v>
      </c>
      <c r="Q83" s="27" t="str">
        <f t="shared" ca="1" si="18"/>
        <v>- / -</v>
      </c>
    </row>
    <row r="84" spans="10:17" x14ac:dyDescent="0.25">
      <c r="J84" s="25">
        <f t="shared" si="19"/>
        <v>75</v>
      </c>
      <c r="K84" s="18" t="str">
        <f t="shared" ca="1" si="12"/>
        <v>-</v>
      </c>
      <c r="L84" s="18" t="str">
        <f t="shared" ca="1" si="13"/>
        <v>-</v>
      </c>
      <c r="M84" s="20" t="str">
        <f t="shared" ca="1" si="14"/>
        <v>-</v>
      </c>
      <c r="N84" s="21" t="str">
        <f t="shared" ca="1" si="15"/>
        <v>-</v>
      </c>
      <c r="O84" s="20" t="e">
        <f t="shared" ca="1" si="16"/>
        <v>#N/A</v>
      </c>
      <c r="P84" s="21" t="e">
        <f t="shared" ca="1" si="17"/>
        <v>#N/A</v>
      </c>
      <c r="Q84" s="27" t="str">
        <f t="shared" ca="1" si="18"/>
        <v>- / -</v>
      </c>
    </row>
    <row r="85" spans="10:17" x14ac:dyDescent="0.25">
      <c r="J85" s="25">
        <f t="shared" si="19"/>
        <v>76</v>
      </c>
      <c r="K85" s="18" t="str">
        <f t="shared" ca="1" si="12"/>
        <v>-</v>
      </c>
      <c r="L85" s="18" t="str">
        <f t="shared" ca="1" si="13"/>
        <v>-</v>
      </c>
      <c r="M85" s="20" t="str">
        <f t="shared" ca="1" si="14"/>
        <v>-</v>
      </c>
      <c r="N85" s="21" t="str">
        <f t="shared" ca="1" si="15"/>
        <v>-</v>
      </c>
      <c r="O85" s="20" t="e">
        <f t="shared" ca="1" si="16"/>
        <v>#N/A</v>
      </c>
      <c r="P85" s="21" t="e">
        <f t="shared" ca="1" si="17"/>
        <v>#N/A</v>
      </c>
      <c r="Q85" s="27" t="str">
        <f t="shared" ca="1" si="18"/>
        <v>- / -</v>
      </c>
    </row>
    <row r="86" spans="10:17" x14ac:dyDescent="0.25">
      <c r="J86" s="25">
        <f t="shared" si="19"/>
        <v>77</v>
      </c>
      <c r="K86" s="18" t="str">
        <f t="shared" ca="1" si="12"/>
        <v>-</v>
      </c>
      <c r="L86" s="18" t="str">
        <f t="shared" ca="1" si="13"/>
        <v>-</v>
      </c>
      <c r="M86" s="20" t="str">
        <f t="shared" ca="1" si="14"/>
        <v>-</v>
      </c>
      <c r="N86" s="21" t="str">
        <f t="shared" ca="1" si="15"/>
        <v>-</v>
      </c>
      <c r="O86" s="20" t="e">
        <f t="shared" ca="1" si="16"/>
        <v>#N/A</v>
      </c>
      <c r="P86" s="21" t="e">
        <f t="shared" ca="1" si="17"/>
        <v>#N/A</v>
      </c>
      <c r="Q86" s="27" t="str">
        <f t="shared" ca="1" si="18"/>
        <v>- / -</v>
      </c>
    </row>
    <row r="87" spans="10:17" x14ac:dyDescent="0.25">
      <c r="J87" s="25">
        <f t="shared" si="19"/>
        <v>78</v>
      </c>
      <c r="K87" s="18" t="str">
        <f t="shared" ca="1" si="12"/>
        <v>-</v>
      </c>
      <c r="L87" s="18" t="str">
        <f t="shared" ca="1" si="13"/>
        <v>-</v>
      </c>
      <c r="M87" s="20" t="str">
        <f t="shared" ca="1" si="14"/>
        <v>-</v>
      </c>
      <c r="N87" s="21" t="str">
        <f t="shared" ca="1" si="15"/>
        <v>-</v>
      </c>
      <c r="O87" s="20" t="e">
        <f t="shared" ca="1" si="16"/>
        <v>#N/A</v>
      </c>
      <c r="P87" s="21" t="e">
        <f t="shared" ca="1" si="17"/>
        <v>#N/A</v>
      </c>
      <c r="Q87" s="27" t="str">
        <f t="shared" ca="1" si="18"/>
        <v>- / -</v>
      </c>
    </row>
    <row r="88" spans="10:17" x14ac:dyDescent="0.25">
      <c r="J88" s="25">
        <f t="shared" si="19"/>
        <v>79</v>
      </c>
      <c r="K88" s="18" t="str">
        <f t="shared" ca="1" si="12"/>
        <v>-</v>
      </c>
      <c r="L88" s="18" t="str">
        <f t="shared" ca="1" si="13"/>
        <v>-</v>
      </c>
      <c r="M88" s="20" t="str">
        <f t="shared" ca="1" si="14"/>
        <v>-</v>
      </c>
      <c r="N88" s="21" t="str">
        <f t="shared" ca="1" si="15"/>
        <v>-</v>
      </c>
      <c r="O88" s="20" t="e">
        <f t="shared" ca="1" si="16"/>
        <v>#N/A</v>
      </c>
      <c r="P88" s="21" t="e">
        <f t="shared" ca="1" si="17"/>
        <v>#N/A</v>
      </c>
      <c r="Q88" s="27" t="str">
        <f t="shared" ca="1" si="18"/>
        <v>- / -</v>
      </c>
    </row>
    <row r="89" spans="10:17" x14ac:dyDescent="0.25">
      <c r="J89" s="25">
        <f t="shared" si="19"/>
        <v>80</v>
      </c>
      <c r="K89" s="18" t="str">
        <f t="shared" ca="1" si="12"/>
        <v>-</v>
      </c>
      <c r="L89" s="18" t="str">
        <f t="shared" ca="1" si="13"/>
        <v>-</v>
      </c>
      <c r="M89" s="20" t="str">
        <f t="shared" ca="1" si="14"/>
        <v>-</v>
      </c>
      <c r="N89" s="21" t="str">
        <f t="shared" ca="1" si="15"/>
        <v>-</v>
      </c>
      <c r="O89" s="20" t="e">
        <f t="shared" ca="1" si="16"/>
        <v>#N/A</v>
      </c>
      <c r="P89" s="21" t="e">
        <f t="shared" ca="1" si="17"/>
        <v>#N/A</v>
      </c>
      <c r="Q89" s="27" t="str">
        <f t="shared" ca="1" si="18"/>
        <v>- / -</v>
      </c>
    </row>
    <row r="90" spans="10:17" x14ac:dyDescent="0.25">
      <c r="J90" s="25">
        <f t="shared" si="19"/>
        <v>81</v>
      </c>
      <c r="K90" s="18" t="str">
        <f t="shared" ca="1" si="12"/>
        <v>-</v>
      </c>
      <c r="L90" s="18" t="str">
        <f t="shared" ca="1" si="13"/>
        <v>-</v>
      </c>
      <c r="M90" s="20" t="str">
        <f t="shared" ca="1" si="14"/>
        <v>-</v>
      </c>
      <c r="N90" s="21" t="str">
        <f t="shared" ca="1" si="15"/>
        <v>-</v>
      </c>
      <c r="O90" s="20" t="e">
        <f t="shared" ca="1" si="16"/>
        <v>#N/A</v>
      </c>
      <c r="P90" s="21" t="e">
        <f t="shared" ca="1" si="17"/>
        <v>#N/A</v>
      </c>
      <c r="Q90" s="27" t="str">
        <f t="shared" ca="1" si="18"/>
        <v>- / -</v>
      </c>
    </row>
    <row r="91" spans="10:17" x14ac:dyDescent="0.25">
      <c r="J91" s="25">
        <f t="shared" si="19"/>
        <v>82</v>
      </c>
      <c r="K91" s="18" t="str">
        <f t="shared" ca="1" si="12"/>
        <v>-</v>
      </c>
      <c r="L91" s="18" t="str">
        <f t="shared" ca="1" si="13"/>
        <v>-</v>
      </c>
      <c r="M91" s="20" t="str">
        <f t="shared" ca="1" si="14"/>
        <v>-</v>
      </c>
      <c r="N91" s="21" t="str">
        <f t="shared" ca="1" si="15"/>
        <v>-</v>
      </c>
      <c r="O91" s="20" t="e">
        <f t="shared" ca="1" si="16"/>
        <v>#N/A</v>
      </c>
      <c r="P91" s="21" t="e">
        <f t="shared" ca="1" si="17"/>
        <v>#N/A</v>
      </c>
      <c r="Q91" s="27" t="str">
        <f t="shared" ca="1" si="18"/>
        <v>- / -</v>
      </c>
    </row>
    <row r="92" spans="10:17" x14ac:dyDescent="0.25">
      <c r="J92" s="25">
        <f t="shared" si="19"/>
        <v>83</v>
      </c>
      <c r="K92" s="18" t="str">
        <f t="shared" ca="1" si="12"/>
        <v>-</v>
      </c>
      <c r="L92" s="18" t="str">
        <f t="shared" ca="1" si="13"/>
        <v>-</v>
      </c>
      <c r="M92" s="20" t="str">
        <f t="shared" ca="1" si="14"/>
        <v>-</v>
      </c>
      <c r="N92" s="21" t="str">
        <f t="shared" ca="1" si="15"/>
        <v>-</v>
      </c>
      <c r="O92" s="20" t="e">
        <f t="shared" ca="1" si="16"/>
        <v>#N/A</v>
      </c>
      <c r="P92" s="21" t="e">
        <f t="shared" ca="1" si="17"/>
        <v>#N/A</v>
      </c>
      <c r="Q92" s="27" t="str">
        <f t="shared" ca="1" si="18"/>
        <v>- / -</v>
      </c>
    </row>
    <row r="93" spans="10:17" x14ac:dyDescent="0.25">
      <c r="J93" s="25">
        <f t="shared" si="19"/>
        <v>84</v>
      </c>
      <c r="K93" s="18" t="str">
        <f t="shared" ca="1" si="12"/>
        <v>-</v>
      </c>
      <c r="L93" s="18" t="str">
        <f t="shared" ca="1" si="13"/>
        <v>-</v>
      </c>
      <c r="M93" s="20" t="str">
        <f t="shared" ca="1" si="14"/>
        <v>-</v>
      </c>
      <c r="N93" s="21" t="str">
        <f t="shared" ca="1" si="15"/>
        <v>-</v>
      </c>
      <c r="O93" s="20" t="e">
        <f t="shared" ca="1" si="16"/>
        <v>#N/A</v>
      </c>
      <c r="P93" s="21" t="e">
        <f t="shared" ca="1" si="17"/>
        <v>#N/A</v>
      </c>
      <c r="Q93" s="27" t="str">
        <f t="shared" ca="1" si="18"/>
        <v>- / -</v>
      </c>
    </row>
    <row r="94" spans="10:17" x14ac:dyDescent="0.25">
      <c r="J94" s="25">
        <f t="shared" si="19"/>
        <v>85</v>
      </c>
      <c r="K94" s="18" t="str">
        <f t="shared" ca="1" si="12"/>
        <v>-</v>
      </c>
      <c r="L94" s="18" t="str">
        <f t="shared" ca="1" si="13"/>
        <v>-</v>
      </c>
      <c r="M94" s="20" t="str">
        <f t="shared" ca="1" si="14"/>
        <v>-</v>
      </c>
      <c r="N94" s="21" t="str">
        <f t="shared" ca="1" si="15"/>
        <v>-</v>
      </c>
      <c r="O94" s="20" t="e">
        <f t="shared" ca="1" si="16"/>
        <v>#N/A</v>
      </c>
      <c r="P94" s="21" t="e">
        <f t="shared" ca="1" si="17"/>
        <v>#N/A</v>
      </c>
      <c r="Q94" s="27" t="str">
        <f t="shared" ca="1" si="18"/>
        <v>- / -</v>
      </c>
    </row>
    <row r="95" spans="10:17" x14ac:dyDescent="0.25">
      <c r="J95" s="25">
        <f t="shared" si="19"/>
        <v>86</v>
      </c>
      <c r="K95" s="18" t="str">
        <f t="shared" ca="1" si="12"/>
        <v>-</v>
      </c>
      <c r="L95" s="18" t="str">
        <f t="shared" ca="1" si="13"/>
        <v>-</v>
      </c>
      <c r="M95" s="20" t="str">
        <f t="shared" ca="1" si="14"/>
        <v>-</v>
      </c>
      <c r="N95" s="21" t="str">
        <f t="shared" ca="1" si="15"/>
        <v>-</v>
      </c>
      <c r="O95" s="20" t="e">
        <f t="shared" ca="1" si="16"/>
        <v>#N/A</v>
      </c>
      <c r="P95" s="21" t="e">
        <f t="shared" ca="1" si="17"/>
        <v>#N/A</v>
      </c>
      <c r="Q95" s="27" t="str">
        <f t="shared" ca="1" si="18"/>
        <v>- / -</v>
      </c>
    </row>
    <row r="96" spans="10:17" x14ac:dyDescent="0.25">
      <c r="J96" s="25">
        <f t="shared" si="19"/>
        <v>87</v>
      </c>
      <c r="K96" s="18" t="str">
        <f t="shared" ca="1" si="12"/>
        <v>-</v>
      </c>
      <c r="L96" s="18" t="str">
        <f t="shared" ca="1" si="13"/>
        <v>-</v>
      </c>
      <c r="M96" s="20" t="str">
        <f t="shared" ca="1" si="14"/>
        <v>-</v>
      </c>
      <c r="N96" s="21" t="str">
        <f t="shared" ca="1" si="15"/>
        <v>-</v>
      </c>
      <c r="O96" s="20" t="e">
        <f t="shared" ca="1" si="16"/>
        <v>#N/A</v>
      </c>
      <c r="P96" s="21" t="e">
        <f t="shared" ca="1" si="17"/>
        <v>#N/A</v>
      </c>
      <c r="Q96" s="27" t="str">
        <f t="shared" ca="1" si="18"/>
        <v>- / -</v>
      </c>
    </row>
    <row r="97" spans="10:17" x14ac:dyDescent="0.25">
      <c r="J97" s="25">
        <f t="shared" si="19"/>
        <v>88</v>
      </c>
      <c r="K97" s="18" t="str">
        <f t="shared" ca="1" si="12"/>
        <v>-</v>
      </c>
      <c r="L97" s="18" t="str">
        <f t="shared" ca="1" si="13"/>
        <v>-</v>
      </c>
      <c r="M97" s="20" t="str">
        <f t="shared" ca="1" si="14"/>
        <v>-</v>
      </c>
      <c r="N97" s="21" t="str">
        <f t="shared" ca="1" si="15"/>
        <v>-</v>
      </c>
      <c r="O97" s="20" t="e">
        <f t="shared" ca="1" si="16"/>
        <v>#N/A</v>
      </c>
      <c r="P97" s="21" t="e">
        <f t="shared" ca="1" si="17"/>
        <v>#N/A</v>
      </c>
      <c r="Q97" s="27" t="str">
        <f t="shared" ca="1" si="18"/>
        <v>- / -</v>
      </c>
    </row>
    <row r="98" spans="10:17" x14ac:dyDescent="0.25">
      <c r="J98" s="25">
        <f t="shared" si="19"/>
        <v>89</v>
      </c>
      <c r="K98" s="18" t="str">
        <f t="shared" ca="1" si="12"/>
        <v>-</v>
      </c>
      <c r="L98" s="18" t="str">
        <f t="shared" ca="1" si="13"/>
        <v>-</v>
      </c>
      <c r="M98" s="20" t="str">
        <f t="shared" ca="1" si="14"/>
        <v>-</v>
      </c>
      <c r="N98" s="21" t="str">
        <f t="shared" ca="1" si="15"/>
        <v>-</v>
      </c>
      <c r="O98" s="20" t="e">
        <f t="shared" ca="1" si="16"/>
        <v>#N/A</v>
      </c>
      <c r="P98" s="21" t="e">
        <f t="shared" ca="1" si="17"/>
        <v>#N/A</v>
      </c>
      <c r="Q98" s="27" t="str">
        <f t="shared" ca="1" si="18"/>
        <v>- / -</v>
      </c>
    </row>
    <row r="99" spans="10:17" x14ac:dyDescent="0.25">
      <c r="J99" s="25">
        <f t="shared" si="19"/>
        <v>90</v>
      </c>
      <c r="K99" s="18" t="str">
        <f t="shared" ca="1" si="12"/>
        <v>-</v>
      </c>
      <c r="L99" s="18" t="str">
        <f t="shared" ca="1" si="13"/>
        <v>-</v>
      </c>
      <c r="M99" s="20" t="str">
        <f t="shared" ca="1" si="14"/>
        <v>-</v>
      </c>
      <c r="N99" s="21" t="str">
        <f t="shared" ca="1" si="15"/>
        <v>-</v>
      </c>
      <c r="O99" s="20" t="e">
        <f t="shared" ca="1" si="16"/>
        <v>#N/A</v>
      </c>
      <c r="P99" s="21" t="e">
        <f t="shared" ca="1" si="17"/>
        <v>#N/A</v>
      </c>
      <c r="Q99" s="27" t="str">
        <f t="shared" ca="1" si="18"/>
        <v>- / -</v>
      </c>
    </row>
    <row r="100" spans="10:17" x14ac:dyDescent="0.25">
      <c r="J100" s="25">
        <f t="shared" si="19"/>
        <v>91</v>
      </c>
      <c r="K100" s="18" t="str">
        <f t="shared" ca="1" si="12"/>
        <v>-</v>
      </c>
      <c r="L100" s="18" t="str">
        <f t="shared" ca="1" si="13"/>
        <v>-</v>
      </c>
      <c r="M100" s="20" t="str">
        <f t="shared" ca="1" si="14"/>
        <v>-</v>
      </c>
      <c r="N100" s="21" t="str">
        <f t="shared" ca="1" si="15"/>
        <v>-</v>
      </c>
      <c r="O100" s="20" t="e">
        <f t="shared" ca="1" si="16"/>
        <v>#N/A</v>
      </c>
      <c r="P100" s="21" t="e">
        <f t="shared" ca="1" si="17"/>
        <v>#N/A</v>
      </c>
      <c r="Q100" s="27" t="str">
        <f t="shared" ca="1" si="18"/>
        <v>- / -</v>
      </c>
    </row>
    <row r="101" spans="10:17" x14ac:dyDescent="0.25">
      <c r="J101" s="25">
        <f t="shared" si="19"/>
        <v>92</v>
      </c>
      <c r="K101" s="18" t="str">
        <f t="shared" ca="1" si="12"/>
        <v>-</v>
      </c>
      <c r="L101" s="18" t="str">
        <f t="shared" ca="1" si="13"/>
        <v>-</v>
      </c>
      <c r="M101" s="20" t="str">
        <f t="shared" ca="1" si="14"/>
        <v>-</v>
      </c>
      <c r="N101" s="21" t="str">
        <f t="shared" ca="1" si="15"/>
        <v>-</v>
      </c>
      <c r="O101" s="20" t="e">
        <f t="shared" ca="1" si="16"/>
        <v>#N/A</v>
      </c>
      <c r="P101" s="21" t="e">
        <f t="shared" ca="1" si="17"/>
        <v>#N/A</v>
      </c>
      <c r="Q101" s="27" t="str">
        <f t="shared" ca="1" si="18"/>
        <v>- / -</v>
      </c>
    </row>
    <row r="102" spans="10:17" x14ac:dyDescent="0.25">
      <c r="J102" s="25">
        <f t="shared" si="19"/>
        <v>93</v>
      </c>
      <c r="K102" s="18" t="str">
        <f t="shared" ca="1" si="12"/>
        <v>-</v>
      </c>
      <c r="L102" s="18" t="str">
        <f t="shared" ca="1" si="13"/>
        <v>-</v>
      </c>
      <c r="M102" s="20" t="str">
        <f t="shared" ca="1" si="14"/>
        <v>-</v>
      </c>
      <c r="N102" s="21" t="str">
        <f t="shared" ca="1" si="15"/>
        <v>-</v>
      </c>
      <c r="O102" s="20" t="e">
        <f t="shared" ca="1" si="16"/>
        <v>#N/A</v>
      </c>
      <c r="P102" s="21" t="e">
        <f t="shared" ca="1" si="17"/>
        <v>#N/A</v>
      </c>
      <c r="Q102" s="27" t="str">
        <f t="shared" ca="1" si="18"/>
        <v>- / -</v>
      </c>
    </row>
    <row r="103" spans="10:17" x14ac:dyDescent="0.25">
      <c r="J103" s="25">
        <f t="shared" si="19"/>
        <v>94</v>
      </c>
      <c r="K103" s="18" t="str">
        <f t="shared" ca="1" si="12"/>
        <v>-</v>
      </c>
      <c r="L103" s="18" t="str">
        <f t="shared" ca="1" si="13"/>
        <v>-</v>
      </c>
      <c r="M103" s="20" t="str">
        <f t="shared" ca="1" si="14"/>
        <v>-</v>
      </c>
      <c r="N103" s="21" t="str">
        <f t="shared" ca="1" si="15"/>
        <v>-</v>
      </c>
      <c r="O103" s="20" t="e">
        <f t="shared" ca="1" si="16"/>
        <v>#N/A</v>
      </c>
      <c r="P103" s="21" t="e">
        <f t="shared" ca="1" si="17"/>
        <v>#N/A</v>
      </c>
      <c r="Q103" s="27" t="str">
        <f t="shared" ca="1" si="18"/>
        <v>- / -</v>
      </c>
    </row>
    <row r="104" spans="10:17" x14ac:dyDescent="0.25">
      <c r="J104" s="25">
        <f t="shared" si="19"/>
        <v>95</v>
      </c>
      <c r="K104" s="18" t="str">
        <f t="shared" ca="1" si="12"/>
        <v>-</v>
      </c>
      <c r="L104" s="18" t="str">
        <f t="shared" ca="1" si="13"/>
        <v>-</v>
      </c>
      <c r="M104" s="20" t="str">
        <f t="shared" ca="1" si="14"/>
        <v>-</v>
      </c>
      <c r="N104" s="21" t="str">
        <f t="shared" ca="1" si="15"/>
        <v>-</v>
      </c>
      <c r="O104" s="20" t="e">
        <f t="shared" ca="1" si="16"/>
        <v>#N/A</v>
      </c>
      <c r="P104" s="21" t="e">
        <f t="shared" ca="1" si="17"/>
        <v>#N/A</v>
      </c>
      <c r="Q104" s="27" t="str">
        <f t="shared" ca="1" si="18"/>
        <v>- / -</v>
      </c>
    </row>
    <row r="105" spans="10:17" x14ac:dyDescent="0.25">
      <c r="J105" s="25">
        <f t="shared" si="19"/>
        <v>96</v>
      </c>
      <c r="K105" s="18" t="str">
        <f t="shared" ca="1" si="12"/>
        <v>-</v>
      </c>
      <c r="L105" s="18" t="str">
        <f t="shared" ca="1" si="13"/>
        <v>-</v>
      </c>
      <c r="M105" s="20" t="str">
        <f t="shared" ca="1" si="14"/>
        <v>-</v>
      </c>
      <c r="N105" s="21" t="str">
        <f t="shared" ca="1" si="15"/>
        <v>-</v>
      </c>
      <c r="O105" s="20" t="e">
        <f t="shared" ca="1" si="16"/>
        <v>#N/A</v>
      </c>
      <c r="P105" s="21" t="e">
        <f t="shared" ca="1" si="17"/>
        <v>#N/A</v>
      </c>
      <c r="Q105" s="27" t="str">
        <f t="shared" ca="1" si="18"/>
        <v>- / -</v>
      </c>
    </row>
    <row r="106" spans="10:17" x14ac:dyDescent="0.25">
      <c r="J106" s="25">
        <f t="shared" si="19"/>
        <v>97</v>
      </c>
      <c r="K106" s="18" t="str">
        <f t="shared" ref="K106:K137" ca="1" si="20">IFERROR(IF(INDIRECT("raw!"&amp;$C$6&amp;$J106)&lt;&gt;"",INDIRECT("raw!"&amp;$C$6&amp;$J106),"-"),"")</f>
        <v>-</v>
      </c>
      <c r="L106" s="18" t="str">
        <f t="shared" ref="L106:L137" ca="1" si="21">IFERROR(IF(INDIRECT("raw!"&amp;$C$7&amp;$J106)&lt;&gt;"",INDIRECT("raw!"&amp;$C$7&amp;$J106),"-"),"")</f>
        <v>-</v>
      </c>
      <c r="M106" s="20" t="str">
        <f t="shared" ref="M106:M137" ca="1" si="22">IFERROR(IF(INDIRECT("raw!"&amp;$C$4&amp;$J106)&lt;&gt;"",INDIRECT("raw!"&amp;$C$4&amp;$J106),"-"),"")</f>
        <v>-</v>
      </c>
      <c r="N106" s="21" t="str">
        <f t="shared" ref="N106:N137" ca="1" si="23">IFERROR(IF(INDIRECT("raw!"&amp;$C$5&amp;$J106)&lt;&gt;"",INDIRECT("raw!"&amp;$C$5&amp;$J106),"-"),"")</f>
        <v>-</v>
      </c>
      <c r="O106" s="20" t="e">
        <f t="shared" ca="1" si="16"/>
        <v>#N/A</v>
      </c>
      <c r="P106" s="21" t="e">
        <f t="shared" ca="1" si="17"/>
        <v>#N/A</v>
      </c>
      <c r="Q106" s="27" t="str">
        <f t="shared" ca="1" si="18"/>
        <v>- / -</v>
      </c>
    </row>
    <row r="107" spans="10:17" x14ac:dyDescent="0.25">
      <c r="J107" s="25">
        <f t="shared" si="19"/>
        <v>98</v>
      </c>
      <c r="K107" s="18" t="str">
        <f t="shared" ca="1" si="20"/>
        <v>-</v>
      </c>
      <c r="L107" s="18" t="str">
        <f t="shared" ca="1" si="21"/>
        <v>-</v>
      </c>
      <c r="M107" s="20" t="str">
        <f t="shared" ca="1" si="22"/>
        <v>-</v>
      </c>
      <c r="N107" s="21" t="str">
        <f t="shared" ca="1" si="23"/>
        <v>-</v>
      </c>
      <c r="O107" s="20" t="e">
        <f t="shared" ca="1" si="16"/>
        <v>#N/A</v>
      </c>
      <c r="P107" s="21" t="e">
        <f t="shared" ca="1" si="17"/>
        <v>#N/A</v>
      </c>
      <c r="Q107" s="27" t="str">
        <f t="shared" ca="1" si="18"/>
        <v>- / -</v>
      </c>
    </row>
    <row r="108" spans="10:17" x14ac:dyDescent="0.25">
      <c r="J108" s="25">
        <f t="shared" si="19"/>
        <v>99</v>
      </c>
      <c r="K108" s="18" t="str">
        <f t="shared" ca="1" si="20"/>
        <v>-</v>
      </c>
      <c r="L108" s="18" t="str">
        <f t="shared" ca="1" si="21"/>
        <v>-</v>
      </c>
      <c r="M108" s="20" t="str">
        <f t="shared" ca="1" si="22"/>
        <v>-</v>
      </c>
      <c r="N108" s="21" t="str">
        <f t="shared" ca="1" si="23"/>
        <v>-</v>
      </c>
      <c r="O108" s="20" t="e">
        <f t="shared" ca="1" si="16"/>
        <v>#N/A</v>
      </c>
      <c r="P108" s="21" t="e">
        <f t="shared" ca="1" si="17"/>
        <v>#N/A</v>
      </c>
      <c r="Q108" s="27" t="str">
        <f t="shared" ca="1" si="18"/>
        <v>- / -</v>
      </c>
    </row>
    <row r="109" spans="10:17" x14ac:dyDescent="0.25">
      <c r="J109" s="25">
        <f t="shared" si="19"/>
        <v>100</v>
      </c>
      <c r="K109" s="18" t="str">
        <f t="shared" ca="1" si="20"/>
        <v>-</v>
      </c>
      <c r="L109" s="18" t="str">
        <f t="shared" ca="1" si="21"/>
        <v>-</v>
      </c>
      <c r="M109" s="20" t="str">
        <f t="shared" ca="1" si="22"/>
        <v>-</v>
      </c>
      <c r="N109" s="21" t="str">
        <f t="shared" ca="1" si="23"/>
        <v>-</v>
      </c>
      <c r="O109" s="20" t="e">
        <f t="shared" ca="1" si="16"/>
        <v>#N/A</v>
      </c>
      <c r="P109" s="21" t="e">
        <f t="shared" ca="1" si="17"/>
        <v>#N/A</v>
      </c>
      <c r="Q109" s="27" t="str">
        <f t="shared" ca="1" si="18"/>
        <v>- / -</v>
      </c>
    </row>
    <row r="110" spans="10:17" x14ac:dyDescent="0.25">
      <c r="J110" s="25">
        <f t="shared" si="19"/>
        <v>101</v>
      </c>
      <c r="K110" s="18" t="str">
        <f t="shared" ca="1" si="20"/>
        <v>-</v>
      </c>
      <c r="L110" s="18" t="str">
        <f t="shared" ca="1" si="21"/>
        <v>-</v>
      </c>
      <c r="M110" s="20" t="str">
        <f t="shared" ca="1" si="22"/>
        <v>-</v>
      </c>
      <c r="N110" s="21" t="str">
        <f t="shared" ca="1" si="23"/>
        <v>-</v>
      </c>
      <c r="O110" s="20" t="e">
        <f t="shared" ca="1" si="16"/>
        <v>#N/A</v>
      </c>
      <c r="P110" s="21" t="e">
        <f t="shared" ca="1" si="17"/>
        <v>#N/A</v>
      </c>
      <c r="Q110" s="27" t="str">
        <f t="shared" ca="1" si="18"/>
        <v>- / -</v>
      </c>
    </row>
    <row r="111" spans="10:17" x14ac:dyDescent="0.25">
      <c r="J111" s="25">
        <f t="shared" si="19"/>
        <v>102</v>
      </c>
      <c r="K111" s="18" t="str">
        <f t="shared" ca="1" si="20"/>
        <v>-</v>
      </c>
      <c r="L111" s="18" t="str">
        <f t="shared" ca="1" si="21"/>
        <v>-</v>
      </c>
      <c r="M111" s="20" t="str">
        <f t="shared" ca="1" si="22"/>
        <v>-</v>
      </c>
      <c r="N111" s="21" t="str">
        <f t="shared" ca="1" si="23"/>
        <v>-</v>
      </c>
      <c r="O111" s="20" t="e">
        <f t="shared" ca="1" si="16"/>
        <v>#N/A</v>
      </c>
      <c r="P111" s="21" t="e">
        <f t="shared" ca="1" si="17"/>
        <v>#N/A</v>
      </c>
      <c r="Q111" s="27" t="str">
        <f t="shared" ca="1" si="18"/>
        <v>- / -</v>
      </c>
    </row>
    <row r="112" spans="10:17" x14ac:dyDescent="0.25">
      <c r="J112" s="25">
        <f t="shared" si="19"/>
        <v>103</v>
      </c>
      <c r="K112" s="18" t="str">
        <f t="shared" ca="1" si="20"/>
        <v>-</v>
      </c>
      <c r="L112" s="18" t="str">
        <f t="shared" ca="1" si="21"/>
        <v>-</v>
      </c>
      <c r="M112" s="20" t="str">
        <f t="shared" ca="1" si="22"/>
        <v>-</v>
      </c>
      <c r="N112" s="21" t="str">
        <f t="shared" ca="1" si="23"/>
        <v>-</v>
      </c>
      <c r="O112" s="20" t="e">
        <f t="shared" ca="1" si="16"/>
        <v>#N/A</v>
      </c>
      <c r="P112" s="21" t="e">
        <f t="shared" ca="1" si="17"/>
        <v>#N/A</v>
      </c>
      <c r="Q112" s="27" t="str">
        <f t="shared" ca="1" si="18"/>
        <v>- / -</v>
      </c>
    </row>
    <row r="113" spans="10:17" x14ac:dyDescent="0.25">
      <c r="J113" s="25">
        <f t="shared" si="19"/>
        <v>104</v>
      </c>
      <c r="K113" s="18" t="str">
        <f t="shared" ca="1" si="20"/>
        <v>-</v>
      </c>
      <c r="L113" s="18" t="str">
        <f t="shared" ca="1" si="21"/>
        <v>-</v>
      </c>
      <c r="M113" s="20" t="str">
        <f t="shared" ca="1" si="22"/>
        <v>-</v>
      </c>
      <c r="N113" s="21" t="str">
        <f t="shared" ca="1" si="23"/>
        <v>-</v>
      </c>
      <c r="O113" s="20" t="e">
        <f t="shared" ca="1" si="16"/>
        <v>#N/A</v>
      </c>
      <c r="P113" s="21" t="e">
        <f t="shared" ca="1" si="17"/>
        <v>#N/A</v>
      </c>
      <c r="Q113" s="27" t="str">
        <f t="shared" ca="1" si="18"/>
        <v>- / -</v>
      </c>
    </row>
    <row r="114" spans="10:17" x14ac:dyDescent="0.25">
      <c r="J114" s="25">
        <f t="shared" si="19"/>
        <v>105</v>
      </c>
      <c r="K114" s="18" t="str">
        <f t="shared" ca="1" si="20"/>
        <v>-</v>
      </c>
      <c r="L114" s="18" t="str">
        <f t="shared" ca="1" si="21"/>
        <v>-</v>
      </c>
      <c r="M114" s="20" t="str">
        <f t="shared" ca="1" si="22"/>
        <v>-</v>
      </c>
      <c r="N114" s="21" t="str">
        <f t="shared" ca="1" si="23"/>
        <v>-</v>
      </c>
      <c r="O114" s="20" t="e">
        <f t="shared" ca="1" si="16"/>
        <v>#N/A</v>
      </c>
      <c r="P114" s="21" t="e">
        <f t="shared" ca="1" si="17"/>
        <v>#N/A</v>
      </c>
      <c r="Q114" s="27" t="str">
        <f t="shared" ca="1" si="18"/>
        <v>- / -</v>
      </c>
    </row>
    <row r="115" spans="10:17" x14ac:dyDescent="0.25">
      <c r="J115" s="25">
        <f t="shared" si="19"/>
        <v>106</v>
      </c>
      <c r="K115" s="18" t="str">
        <f t="shared" ca="1" si="20"/>
        <v>-</v>
      </c>
      <c r="L115" s="18" t="str">
        <f t="shared" ca="1" si="21"/>
        <v>-</v>
      </c>
      <c r="M115" s="20" t="str">
        <f t="shared" ca="1" si="22"/>
        <v>-</v>
      </c>
      <c r="N115" s="21" t="str">
        <f t="shared" ca="1" si="23"/>
        <v>-</v>
      </c>
      <c r="O115" s="20" t="e">
        <f t="shared" ca="1" si="16"/>
        <v>#N/A</v>
      </c>
      <c r="P115" s="21" t="e">
        <f t="shared" ca="1" si="17"/>
        <v>#N/A</v>
      </c>
      <c r="Q115" s="27" t="str">
        <f t="shared" ca="1" si="18"/>
        <v>- / -</v>
      </c>
    </row>
    <row r="116" spans="10:17" x14ac:dyDescent="0.25">
      <c r="J116" s="25">
        <f t="shared" si="19"/>
        <v>107</v>
      </c>
      <c r="K116" s="18" t="str">
        <f t="shared" ca="1" si="20"/>
        <v>-</v>
      </c>
      <c r="L116" s="18" t="str">
        <f t="shared" ca="1" si="21"/>
        <v>-</v>
      </c>
      <c r="M116" s="20" t="str">
        <f t="shared" ca="1" si="22"/>
        <v>-</v>
      </c>
      <c r="N116" s="21" t="str">
        <f t="shared" ca="1" si="23"/>
        <v>-</v>
      </c>
      <c r="O116" s="20" t="e">
        <f t="shared" ca="1" si="16"/>
        <v>#N/A</v>
      </c>
      <c r="P116" s="21" t="e">
        <f t="shared" ca="1" si="17"/>
        <v>#N/A</v>
      </c>
      <c r="Q116" s="27" t="str">
        <f t="shared" ca="1" si="18"/>
        <v>- / -</v>
      </c>
    </row>
    <row r="117" spans="10:17" x14ac:dyDescent="0.25">
      <c r="J117" s="25">
        <f t="shared" si="19"/>
        <v>108</v>
      </c>
      <c r="K117" s="18" t="str">
        <f t="shared" ca="1" si="20"/>
        <v>-</v>
      </c>
      <c r="L117" s="18" t="str">
        <f t="shared" ca="1" si="21"/>
        <v>-</v>
      </c>
      <c r="M117" s="20" t="str">
        <f t="shared" ca="1" si="22"/>
        <v>-</v>
      </c>
      <c r="N117" s="21" t="str">
        <f t="shared" ca="1" si="23"/>
        <v>-</v>
      </c>
      <c r="O117" s="20" t="e">
        <f t="shared" ca="1" si="16"/>
        <v>#N/A</v>
      </c>
      <c r="P117" s="21" t="e">
        <f t="shared" ca="1" si="17"/>
        <v>#N/A</v>
      </c>
      <c r="Q117" s="27" t="str">
        <f t="shared" ca="1" si="18"/>
        <v>- / -</v>
      </c>
    </row>
    <row r="118" spans="10:17" x14ac:dyDescent="0.25">
      <c r="J118" s="25">
        <f t="shared" si="19"/>
        <v>109</v>
      </c>
      <c r="K118" s="18" t="str">
        <f t="shared" ca="1" si="20"/>
        <v>-</v>
      </c>
      <c r="L118" s="18" t="str">
        <f t="shared" ca="1" si="21"/>
        <v>-</v>
      </c>
      <c r="M118" s="20" t="str">
        <f t="shared" ca="1" si="22"/>
        <v>-</v>
      </c>
      <c r="N118" s="21" t="str">
        <f t="shared" ca="1" si="23"/>
        <v>-</v>
      </c>
      <c r="O118" s="20" t="e">
        <f t="shared" ca="1" si="16"/>
        <v>#N/A</v>
      </c>
      <c r="P118" s="21" t="e">
        <f t="shared" ca="1" si="17"/>
        <v>#N/A</v>
      </c>
      <c r="Q118" s="27" t="str">
        <f t="shared" ca="1" si="18"/>
        <v>- / -</v>
      </c>
    </row>
    <row r="119" spans="10:17" x14ac:dyDescent="0.25">
      <c r="J119" s="25">
        <f t="shared" si="19"/>
        <v>110</v>
      </c>
      <c r="K119" s="18" t="str">
        <f t="shared" ca="1" si="20"/>
        <v>-</v>
      </c>
      <c r="L119" s="18" t="str">
        <f t="shared" ca="1" si="21"/>
        <v>-</v>
      </c>
      <c r="M119" s="20" t="str">
        <f t="shared" ca="1" si="22"/>
        <v>-</v>
      </c>
      <c r="N119" s="21" t="str">
        <f t="shared" ca="1" si="23"/>
        <v>-</v>
      </c>
      <c r="O119" s="20" t="e">
        <f t="shared" ca="1" si="16"/>
        <v>#N/A</v>
      </c>
      <c r="P119" s="21" t="e">
        <f t="shared" ca="1" si="17"/>
        <v>#N/A</v>
      </c>
      <c r="Q119" s="27" t="str">
        <f t="shared" ca="1" si="18"/>
        <v>- / -</v>
      </c>
    </row>
    <row r="120" spans="10:17" x14ac:dyDescent="0.25">
      <c r="J120" s="25">
        <f t="shared" si="19"/>
        <v>111</v>
      </c>
      <c r="K120" s="18" t="str">
        <f t="shared" ca="1" si="20"/>
        <v>-</v>
      </c>
      <c r="L120" s="18" t="str">
        <f t="shared" ca="1" si="21"/>
        <v>-</v>
      </c>
      <c r="M120" s="20" t="str">
        <f t="shared" ca="1" si="22"/>
        <v>-</v>
      </c>
      <c r="N120" s="21" t="str">
        <f t="shared" ca="1" si="23"/>
        <v>-</v>
      </c>
      <c r="O120" s="20" t="e">
        <f t="shared" ca="1" si="16"/>
        <v>#N/A</v>
      </c>
      <c r="P120" s="21" t="e">
        <f t="shared" ca="1" si="17"/>
        <v>#N/A</v>
      </c>
      <c r="Q120" s="27" t="str">
        <f t="shared" ca="1" si="18"/>
        <v>- / -</v>
      </c>
    </row>
    <row r="121" spans="10:17" x14ac:dyDescent="0.25">
      <c r="J121" s="25">
        <f t="shared" si="19"/>
        <v>112</v>
      </c>
      <c r="K121" s="18" t="str">
        <f t="shared" ca="1" si="20"/>
        <v>-</v>
      </c>
      <c r="L121" s="18" t="str">
        <f t="shared" ca="1" si="21"/>
        <v>-</v>
      </c>
      <c r="M121" s="20" t="str">
        <f t="shared" ca="1" si="22"/>
        <v>-</v>
      </c>
      <c r="N121" s="21" t="str">
        <f t="shared" ca="1" si="23"/>
        <v>-</v>
      </c>
      <c r="O121" s="20" t="e">
        <f t="shared" ca="1" si="16"/>
        <v>#N/A</v>
      </c>
      <c r="P121" s="21" t="e">
        <f t="shared" ca="1" si="17"/>
        <v>#N/A</v>
      </c>
      <c r="Q121" s="27" t="str">
        <f t="shared" ca="1" si="18"/>
        <v>- / -</v>
      </c>
    </row>
    <row r="122" spans="10:17" x14ac:dyDescent="0.25">
      <c r="J122" s="25">
        <f t="shared" si="19"/>
        <v>113</v>
      </c>
      <c r="K122" s="18" t="str">
        <f t="shared" ca="1" si="20"/>
        <v>-</v>
      </c>
      <c r="L122" s="18" t="str">
        <f t="shared" ca="1" si="21"/>
        <v>-</v>
      </c>
      <c r="M122" s="20" t="str">
        <f t="shared" ca="1" si="22"/>
        <v>-</v>
      </c>
      <c r="N122" s="21" t="str">
        <f t="shared" ca="1" si="23"/>
        <v>-</v>
      </c>
      <c r="O122" s="20" t="e">
        <f t="shared" ca="1" si="16"/>
        <v>#N/A</v>
      </c>
      <c r="P122" s="21" t="e">
        <f t="shared" ca="1" si="17"/>
        <v>#N/A</v>
      </c>
      <c r="Q122" s="27" t="str">
        <f t="shared" ca="1" si="18"/>
        <v>- / -</v>
      </c>
    </row>
    <row r="123" spans="10:17" x14ac:dyDescent="0.25">
      <c r="J123" s="25">
        <f t="shared" si="19"/>
        <v>114</v>
      </c>
      <c r="K123" s="18" t="str">
        <f t="shared" ca="1" si="20"/>
        <v>-</v>
      </c>
      <c r="L123" s="18" t="str">
        <f t="shared" ca="1" si="21"/>
        <v>-</v>
      </c>
      <c r="M123" s="20" t="str">
        <f t="shared" ca="1" si="22"/>
        <v>-</v>
      </c>
      <c r="N123" s="21" t="str">
        <f t="shared" ca="1" si="23"/>
        <v>-</v>
      </c>
      <c r="O123" s="20" t="e">
        <f t="shared" ca="1" si="16"/>
        <v>#N/A</v>
      </c>
      <c r="P123" s="21" t="e">
        <f t="shared" ca="1" si="17"/>
        <v>#N/A</v>
      </c>
      <c r="Q123" s="27" t="str">
        <f t="shared" ca="1" si="18"/>
        <v>- / -</v>
      </c>
    </row>
    <row r="124" spans="10:17" x14ac:dyDescent="0.25">
      <c r="J124" s="25">
        <f t="shared" si="19"/>
        <v>115</v>
      </c>
      <c r="K124" s="18" t="str">
        <f t="shared" ca="1" si="20"/>
        <v>-</v>
      </c>
      <c r="L124" s="18" t="str">
        <f t="shared" ca="1" si="21"/>
        <v>-</v>
      </c>
      <c r="M124" s="20" t="str">
        <f t="shared" ca="1" si="22"/>
        <v>-</v>
      </c>
      <c r="N124" s="21" t="str">
        <f t="shared" ca="1" si="23"/>
        <v>-</v>
      </c>
      <c r="O124" s="20" t="e">
        <f t="shared" ca="1" si="16"/>
        <v>#N/A</v>
      </c>
      <c r="P124" s="21" t="e">
        <f t="shared" ca="1" si="17"/>
        <v>#N/A</v>
      </c>
      <c r="Q124" s="27" t="str">
        <f t="shared" ca="1" si="18"/>
        <v>- / -</v>
      </c>
    </row>
    <row r="125" spans="10:17" x14ac:dyDescent="0.25">
      <c r="J125" s="25">
        <f t="shared" si="19"/>
        <v>116</v>
      </c>
      <c r="K125" s="18" t="str">
        <f t="shared" ca="1" si="20"/>
        <v>-</v>
      </c>
      <c r="L125" s="18" t="str">
        <f t="shared" ca="1" si="21"/>
        <v>-</v>
      </c>
      <c r="M125" s="20" t="str">
        <f t="shared" ca="1" si="22"/>
        <v>-</v>
      </c>
      <c r="N125" s="21" t="str">
        <f t="shared" ca="1" si="23"/>
        <v>-</v>
      </c>
      <c r="O125" s="20" t="e">
        <f t="shared" ca="1" si="16"/>
        <v>#N/A</v>
      </c>
      <c r="P125" s="21" t="e">
        <f t="shared" ca="1" si="17"/>
        <v>#N/A</v>
      </c>
      <c r="Q125" s="27" t="str">
        <f t="shared" ca="1" si="18"/>
        <v>- / -</v>
      </c>
    </row>
    <row r="126" spans="10:17" x14ac:dyDescent="0.25">
      <c r="J126" s="25">
        <f t="shared" si="19"/>
        <v>117</v>
      </c>
      <c r="K126" s="18" t="str">
        <f t="shared" ca="1" si="20"/>
        <v>-</v>
      </c>
      <c r="L126" s="18" t="str">
        <f t="shared" ca="1" si="21"/>
        <v>-</v>
      </c>
      <c r="M126" s="20" t="str">
        <f t="shared" ca="1" si="22"/>
        <v>-</v>
      </c>
      <c r="N126" s="21" t="str">
        <f t="shared" ca="1" si="23"/>
        <v>-</v>
      </c>
      <c r="O126" s="20" t="e">
        <f t="shared" ca="1" si="16"/>
        <v>#N/A</v>
      </c>
      <c r="P126" s="21" t="e">
        <f t="shared" ca="1" si="17"/>
        <v>#N/A</v>
      </c>
      <c r="Q126" s="27" t="str">
        <f t="shared" ca="1" si="18"/>
        <v>- / -</v>
      </c>
    </row>
    <row r="127" spans="10:17" x14ac:dyDescent="0.25">
      <c r="J127" s="25">
        <f t="shared" si="19"/>
        <v>118</v>
      </c>
      <c r="K127" s="18" t="str">
        <f t="shared" ca="1" si="20"/>
        <v>-</v>
      </c>
      <c r="L127" s="18" t="str">
        <f t="shared" ca="1" si="21"/>
        <v>-</v>
      </c>
      <c r="M127" s="20" t="str">
        <f t="shared" ca="1" si="22"/>
        <v>-</v>
      </c>
      <c r="N127" s="21" t="str">
        <f t="shared" ca="1" si="23"/>
        <v>-</v>
      </c>
      <c r="O127" s="20" t="e">
        <f t="shared" ca="1" si="16"/>
        <v>#N/A</v>
      </c>
      <c r="P127" s="21" t="e">
        <f t="shared" ca="1" si="17"/>
        <v>#N/A</v>
      </c>
      <c r="Q127" s="27" t="str">
        <f t="shared" ca="1" si="18"/>
        <v>- / -</v>
      </c>
    </row>
    <row r="128" spans="10:17" x14ac:dyDescent="0.25">
      <c r="J128" s="25">
        <f t="shared" si="19"/>
        <v>119</v>
      </c>
      <c r="K128" s="18" t="str">
        <f t="shared" ca="1" si="20"/>
        <v>-</v>
      </c>
      <c r="L128" s="18" t="str">
        <f t="shared" ca="1" si="21"/>
        <v>-</v>
      </c>
      <c r="M128" s="20" t="str">
        <f t="shared" ca="1" si="22"/>
        <v>-</v>
      </c>
      <c r="N128" s="21" t="str">
        <f t="shared" ca="1" si="23"/>
        <v>-</v>
      </c>
      <c r="O128" s="20" t="e">
        <f t="shared" ca="1" si="16"/>
        <v>#N/A</v>
      </c>
      <c r="P128" s="21" t="e">
        <f t="shared" ca="1" si="17"/>
        <v>#N/A</v>
      </c>
      <c r="Q128" s="27" t="str">
        <f t="shared" ca="1" si="18"/>
        <v>- / -</v>
      </c>
    </row>
    <row r="129" spans="10:17" x14ac:dyDescent="0.25">
      <c r="J129" s="25">
        <f t="shared" si="19"/>
        <v>120</v>
      </c>
      <c r="K129" s="18" t="str">
        <f t="shared" ca="1" si="20"/>
        <v>-</v>
      </c>
      <c r="L129" s="18" t="str">
        <f t="shared" ca="1" si="21"/>
        <v>-</v>
      </c>
      <c r="M129" s="20" t="str">
        <f t="shared" ca="1" si="22"/>
        <v>-</v>
      </c>
      <c r="N129" s="21" t="str">
        <f t="shared" ca="1" si="23"/>
        <v>-</v>
      </c>
      <c r="O129" s="20" t="e">
        <f t="shared" ca="1" si="16"/>
        <v>#N/A</v>
      </c>
      <c r="P129" s="21" t="e">
        <f t="shared" ca="1" si="17"/>
        <v>#N/A</v>
      </c>
      <c r="Q129" s="27" t="str">
        <f t="shared" ca="1" si="18"/>
        <v>- / -</v>
      </c>
    </row>
    <row r="130" spans="10:17" x14ac:dyDescent="0.25">
      <c r="J130" s="25">
        <f t="shared" si="19"/>
        <v>121</v>
      </c>
      <c r="K130" s="18" t="str">
        <f t="shared" ca="1" si="20"/>
        <v>-</v>
      </c>
      <c r="L130" s="18" t="str">
        <f t="shared" ca="1" si="21"/>
        <v>-</v>
      </c>
      <c r="M130" s="20" t="str">
        <f t="shared" ca="1" si="22"/>
        <v>-</v>
      </c>
      <c r="N130" s="21" t="str">
        <f t="shared" ca="1" si="23"/>
        <v>-</v>
      </c>
      <c r="O130" s="20" t="e">
        <f t="shared" ca="1" si="16"/>
        <v>#N/A</v>
      </c>
      <c r="P130" s="21" t="e">
        <f t="shared" ca="1" si="17"/>
        <v>#N/A</v>
      </c>
      <c r="Q130" s="27" t="str">
        <f t="shared" ca="1" si="18"/>
        <v>- / -</v>
      </c>
    </row>
    <row r="131" spans="10:17" x14ac:dyDescent="0.25">
      <c r="J131" s="25">
        <f t="shared" si="19"/>
        <v>122</v>
      </c>
      <c r="K131" s="18" t="str">
        <f t="shared" ca="1" si="20"/>
        <v>-</v>
      </c>
      <c r="L131" s="18" t="str">
        <f t="shared" ca="1" si="21"/>
        <v>-</v>
      </c>
      <c r="M131" s="20" t="str">
        <f t="shared" ca="1" si="22"/>
        <v>-</v>
      </c>
      <c r="N131" s="21" t="str">
        <f t="shared" ca="1" si="23"/>
        <v>-</v>
      </c>
      <c r="O131" s="20" t="e">
        <f t="shared" ca="1" si="16"/>
        <v>#N/A</v>
      </c>
      <c r="P131" s="21" t="e">
        <f t="shared" ca="1" si="17"/>
        <v>#N/A</v>
      </c>
      <c r="Q131" s="27" t="str">
        <f t="shared" ca="1" si="18"/>
        <v>- / -</v>
      </c>
    </row>
    <row r="132" spans="10:17" x14ac:dyDescent="0.25">
      <c r="J132" s="25">
        <f t="shared" si="19"/>
        <v>123</v>
      </c>
      <c r="K132" s="18" t="str">
        <f t="shared" ca="1" si="20"/>
        <v>-</v>
      </c>
      <c r="L132" s="18" t="str">
        <f t="shared" ca="1" si="21"/>
        <v>-</v>
      </c>
      <c r="M132" s="20" t="str">
        <f t="shared" ca="1" si="22"/>
        <v>-</v>
      </c>
      <c r="N132" s="21" t="str">
        <f t="shared" ca="1" si="23"/>
        <v>-</v>
      </c>
      <c r="O132" s="20" t="e">
        <f t="shared" ca="1" si="16"/>
        <v>#N/A</v>
      </c>
      <c r="P132" s="21" t="e">
        <f t="shared" ca="1" si="17"/>
        <v>#N/A</v>
      </c>
      <c r="Q132" s="27" t="str">
        <f t="shared" ca="1" si="18"/>
        <v>- / -</v>
      </c>
    </row>
    <row r="133" spans="10:17" x14ac:dyDescent="0.25">
      <c r="J133" s="25">
        <f t="shared" si="19"/>
        <v>124</v>
      </c>
      <c r="K133" s="18" t="str">
        <f t="shared" ca="1" si="20"/>
        <v>-</v>
      </c>
      <c r="L133" s="18" t="str">
        <f t="shared" ca="1" si="21"/>
        <v>-</v>
      </c>
      <c r="M133" s="20" t="str">
        <f t="shared" ca="1" si="22"/>
        <v>-</v>
      </c>
      <c r="N133" s="21" t="str">
        <f t="shared" ca="1" si="23"/>
        <v>-</v>
      </c>
      <c r="O133" s="20" t="e">
        <f t="shared" ca="1" si="16"/>
        <v>#N/A</v>
      </c>
      <c r="P133" s="21" t="e">
        <f t="shared" ca="1" si="17"/>
        <v>#N/A</v>
      </c>
      <c r="Q133" s="27" t="str">
        <f t="shared" ca="1" si="18"/>
        <v>- / -</v>
      </c>
    </row>
    <row r="134" spans="10:17" x14ac:dyDescent="0.25">
      <c r="J134" s="25">
        <f t="shared" si="19"/>
        <v>125</v>
      </c>
      <c r="K134" s="18" t="str">
        <f t="shared" ca="1" si="20"/>
        <v>-</v>
      </c>
      <c r="L134" s="18" t="str">
        <f t="shared" ca="1" si="21"/>
        <v>-</v>
      </c>
      <c r="M134" s="20" t="str">
        <f t="shared" ca="1" si="22"/>
        <v>-</v>
      </c>
      <c r="N134" s="21" t="str">
        <f t="shared" ca="1" si="23"/>
        <v>-</v>
      </c>
      <c r="O134" s="20" t="e">
        <f t="shared" ca="1" si="16"/>
        <v>#N/A</v>
      </c>
      <c r="P134" s="21" t="e">
        <f t="shared" ca="1" si="17"/>
        <v>#N/A</v>
      </c>
      <c r="Q134" s="27" t="str">
        <f t="shared" ca="1" si="18"/>
        <v>- / -</v>
      </c>
    </row>
    <row r="135" spans="10:17" x14ac:dyDescent="0.25">
      <c r="J135" s="25">
        <f t="shared" si="19"/>
        <v>126</v>
      </c>
      <c r="K135" s="18" t="str">
        <f t="shared" ca="1" si="20"/>
        <v>-</v>
      </c>
      <c r="L135" s="18" t="str">
        <f t="shared" ca="1" si="21"/>
        <v>-</v>
      </c>
      <c r="M135" s="20" t="str">
        <f t="shared" ca="1" si="22"/>
        <v>-</v>
      </c>
      <c r="N135" s="21" t="str">
        <f t="shared" ca="1" si="23"/>
        <v>-</v>
      </c>
      <c r="O135" s="20" t="e">
        <f t="shared" ca="1" si="16"/>
        <v>#N/A</v>
      </c>
      <c r="P135" s="21" t="e">
        <f t="shared" ca="1" si="17"/>
        <v>#N/A</v>
      </c>
      <c r="Q135" s="27" t="str">
        <f t="shared" ca="1" si="18"/>
        <v>- / -</v>
      </c>
    </row>
    <row r="136" spans="10:17" x14ac:dyDescent="0.25">
      <c r="J136" s="25">
        <f t="shared" si="19"/>
        <v>127</v>
      </c>
      <c r="K136" s="18" t="str">
        <f t="shared" ca="1" si="20"/>
        <v>-</v>
      </c>
      <c r="L136" s="18" t="str">
        <f t="shared" ca="1" si="21"/>
        <v>-</v>
      </c>
      <c r="M136" s="20" t="str">
        <f t="shared" ca="1" si="22"/>
        <v>-</v>
      </c>
      <c r="N136" s="21" t="str">
        <f t="shared" ca="1" si="23"/>
        <v>-</v>
      </c>
      <c r="O136" s="20" t="e">
        <f t="shared" ca="1" si="16"/>
        <v>#N/A</v>
      </c>
      <c r="P136" s="21" t="e">
        <f t="shared" ca="1" si="17"/>
        <v>#N/A</v>
      </c>
      <c r="Q136" s="27" t="str">
        <f t="shared" ca="1" si="18"/>
        <v>- / -</v>
      </c>
    </row>
    <row r="137" spans="10:17" x14ac:dyDescent="0.25">
      <c r="J137" s="25">
        <f t="shared" si="19"/>
        <v>128</v>
      </c>
      <c r="K137" s="18" t="str">
        <f t="shared" ca="1" si="20"/>
        <v>-</v>
      </c>
      <c r="L137" s="18" t="str">
        <f t="shared" ca="1" si="21"/>
        <v>-</v>
      </c>
      <c r="M137" s="20" t="str">
        <f t="shared" ca="1" si="22"/>
        <v>-</v>
      </c>
      <c r="N137" s="21" t="str">
        <f t="shared" ca="1" si="23"/>
        <v>-</v>
      </c>
      <c r="O137" s="20" t="e">
        <f t="shared" ca="1" si="16"/>
        <v>#N/A</v>
      </c>
      <c r="P137" s="21" t="e">
        <f t="shared" ca="1" si="17"/>
        <v>#N/A</v>
      </c>
      <c r="Q137" s="27" t="str">
        <f t="shared" ca="1" si="18"/>
        <v>- / -</v>
      </c>
    </row>
    <row r="138" spans="10:17" x14ac:dyDescent="0.25">
      <c r="J138" s="25">
        <f t="shared" si="19"/>
        <v>129</v>
      </c>
      <c r="K138" s="18" t="str">
        <f t="shared" ref="K138:K164" ca="1" si="24">IFERROR(IF(INDIRECT("raw!"&amp;$C$6&amp;$J138)&lt;&gt;"",INDIRECT("raw!"&amp;$C$6&amp;$J138),"-"),"")</f>
        <v>-</v>
      </c>
      <c r="L138" s="18" t="str">
        <f t="shared" ref="L138:L164" ca="1" si="25">IFERROR(IF(INDIRECT("raw!"&amp;$C$7&amp;$J138)&lt;&gt;"",INDIRECT("raw!"&amp;$C$7&amp;$J138),"-"),"")</f>
        <v>-</v>
      </c>
      <c r="M138" s="20" t="str">
        <f t="shared" ref="M138:M164" ca="1" si="26">IFERROR(IF(INDIRECT("raw!"&amp;$C$4&amp;$J138)&lt;&gt;"",INDIRECT("raw!"&amp;$C$4&amp;$J138),"-"),"")</f>
        <v>-</v>
      </c>
      <c r="N138" s="21" t="str">
        <f t="shared" ref="N138:N164" ca="1" si="27">IFERROR(IF(INDIRECT("raw!"&amp;$C$5&amp;$J138)&lt;&gt;"",INDIRECT("raw!"&amp;$C$5&amp;$J138),"-"),"")</f>
        <v>-</v>
      </c>
      <c r="O138" s="20" t="e">
        <f t="shared" ca="1" si="16"/>
        <v>#N/A</v>
      </c>
      <c r="P138" s="21" t="e">
        <f t="shared" ca="1" si="17"/>
        <v>#N/A</v>
      </c>
      <c r="Q138" s="27" t="str">
        <f t="shared" ca="1" si="18"/>
        <v>- / -</v>
      </c>
    </row>
    <row r="139" spans="10:17" x14ac:dyDescent="0.25">
      <c r="J139" s="25">
        <f t="shared" si="19"/>
        <v>130</v>
      </c>
      <c r="K139" s="18" t="str">
        <f t="shared" ca="1" si="24"/>
        <v>-</v>
      </c>
      <c r="L139" s="18" t="str">
        <f t="shared" ca="1" si="25"/>
        <v>-</v>
      </c>
      <c r="M139" s="20" t="str">
        <f t="shared" ca="1" si="26"/>
        <v>-</v>
      </c>
      <c r="N139" s="21" t="str">
        <f t="shared" ca="1" si="27"/>
        <v>-</v>
      </c>
      <c r="O139" s="20" t="e">
        <f t="shared" ca="1" si="16"/>
        <v>#N/A</v>
      </c>
      <c r="P139" s="21" t="e">
        <f t="shared" ca="1" si="17"/>
        <v>#N/A</v>
      </c>
      <c r="Q139" s="27" t="str">
        <f t="shared" ca="1" si="18"/>
        <v>- / -</v>
      </c>
    </row>
    <row r="140" spans="10:17" x14ac:dyDescent="0.25">
      <c r="J140" s="25">
        <f t="shared" si="19"/>
        <v>131</v>
      </c>
      <c r="K140" s="18" t="str">
        <f t="shared" ca="1" si="24"/>
        <v>-</v>
      </c>
      <c r="L140" s="18" t="str">
        <f t="shared" ca="1" si="25"/>
        <v>-</v>
      </c>
      <c r="M140" s="20" t="str">
        <f t="shared" ca="1" si="26"/>
        <v>-</v>
      </c>
      <c r="N140" s="21" t="str">
        <f t="shared" ca="1" si="27"/>
        <v>-</v>
      </c>
      <c r="O140" s="20" t="e">
        <f t="shared" ref="O140:O164" ca="1" si="28">VALUE(IFERROR(M140-IF($E$4="Incremental",INDEX($K$11:$N$164,MATCH(K140,$K$11:$K$164,),3),0),NA()))</f>
        <v>#N/A</v>
      </c>
      <c r="P140" s="21" t="e">
        <f t="shared" ref="P140:P164" ca="1" si="29">IFERROR(N140-IF($E$5="Incremental",INDEX($K$11:$N$164,MATCH(K140,$K$11:$K$164,),4),0),NA())</f>
        <v>#N/A</v>
      </c>
      <c r="Q140" s="27" t="str">
        <f t="shared" ref="Q140:Q164" ca="1" si="30">K140&amp;" / "&amp;L140</f>
        <v>- / -</v>
      </c>
    </row>
    <row r="141" spans="10:17" x14ac:dyDescent="0.25">
      <c r="J141" s="25">
        <f t="shared" ref="J141:J164" si="31">J140+1</f>
        <v>132</v>
      </c>
      <c r="K141" s="18" t="str">
        <f t="shared" ca="1" si="24"/>
        <v>-</v>
      </c>
      <c r="L141" s="18" t="str">
        <f t="shared" ca="1" si="25"/>
        <v>-</v>
      </c>
      <c r="M141" s="20" t="str">
        <f t="shared" ca="1" si="26"/>
        <v>-</v>
      </c>
      <c r="N141" s="21" t="str">
        <f t="shared" ca="1" si="27"/>
        <v>-</v>
      </c>
      <c r="O141" s="20" t="e">
        <f t="shared" ca="1" si="28"/>
        <v>#N/A</v>
      </c>
      <c r="P141" s="21" t="e">
        <f t="shared" ca="1" si="29"/>
        <v>#N/A</v>
      </c>
      <c r="Q141" s="27" t="str">
        <f t="shared" ca="1" si="30"/>
        <v>- / -</v>
      </c>
    </row>
    <row r="142" spans="10:17" x14ac:dyDescent="0.25">
      <c r="J142" s="25">
        <f t="shared" si="31"/>
        <v>133</v>
      </c>
      <c r="K142" s="18" t="str">
        <f t="shared" ca="1" si="24"/>
        <v>-</v>
      </c>
      <c r="L142" s="18" t="str">
        <f t="shared" ca="1" si="25"/>
        <v>-</v>
      </c>
      <c r="M142" s="20" t="str">
        <f t="shared" ca="1" si="26"/>
        <v>-</v>
      </c>
      <c r="N142" s="21" t="str">
        <f t="shared" ca="1" si="27"/>
        <v>-</v>
      </c>
      <c r="O142" s="20" t="e">
        <f t="shared" ca="1" si="28"/>
        <v>#N/A</v>
      </c>
      <c r="P142" s="21" t="e">
        <f t="shared" ca="1" si="29"/>
        <v>#N/A</v>
      </c>
      <c r="Q142" s="27" t="str">
        <f t="shared" ca="1" si="30"/>
        <v>- / -</v>
      </c>
    </row>
    <row r="143" spans="10:17" x14ac:dyDescent="0.25">
      <c r="J143" s="25">
        <f t="shared" si="31"/>
        <v>134</v>
      </c>
      <c r="K143" s="18" t="str">
        <f t="shared" ca="1" si="24"/>
        <v>-</v>
      </c>
      <c r="L143" s="18" t="str">
        <f t="shared" ca="1" si="25"/>
        <v>-</v>
      </c>
      <c r="M143" s="20" t="str">
        <f t="shared" ca="1" si="26"/>
        <v>-</v>
      </c>
      <c r="N143" s="21" t="str">
        <f t="shared" ca="1" si="27"/>
        <v>-</v>
      </c>
      <c r="O143" s="20" t="e">
        <f t="shared" ca="1" si="28"/>
        <v>#N/A</v>
      </c>
      <c r="P143" s="21" t="e">
        <f t="shared" ca="1" si="29"/>
        <v>#N/A</v>
      </c>
      <c r="Q143" s="27" t="str">
        <f t="shared" ca="1" si="30"/>
        <v>- / -</v>
      </c>
    </row>
    <row r="144" spans="10:17" x14ac:dyDescent="0.25">
      <c r="J144" s="25">
        <f t="shared" si="31"/>
        <v>135</v>
      </c>
      <c r="K144" s="18" t="str">
        <f t="shared" ca="1" si="24"/>
        <v>-</v>
      </c>
      <c r="L144" s="18" t="str">
        <f t="shared" ca="1" si="25"/>
        <v>-</v>
      </c>
      <c r="M144" s="20" t="str">
        <f t="shared" ca="1" si="26"/>
        <v>-</v>
      </c>
      <c r="N144" s="21" t="str">
        <f t="shared" ca="1" si="27"/>
        <v>-</v>
      </c>
      <c r="O144" s="20" t="e">
        <f t="shared" ca="1" si="28"/>
        <v>#N/A</v>
      </c>
      <c r="P144" s="21" t="e">
        <f t="shared" ca="1" si="29"/>
        <v>#N/A</v>
      </c>
      <c r="Q144" s="27" t="str">
        <f t="shared" ca="1" si="30"/>
        <v>- / -</v>
      </c>
    </row>
    <row r="145" spans="10:17" x14ac:dyDescent="0.25">
      <c r="J145" s="25">
        <f t="shared" si="31"/>
        <v>136</v>
      </c>
      <c r="K145" s="18" t="str">
        <f t="shared" ca="1" si="24"/>
        <v>-</v>
      </c>
      <c r="L145" s="18" t="str">
        <f t="shared" ca="1" si="25"/>
        <v>-</v>
      </c>
      <c r="M145" s="20" t="str">
        <f t="shared" ca="1" si="26"/>
        <v>-</v>
      </c>
      <c r="N145" s="21" t="str">
        <f t="shared" ca="1" si="27"/>
        <v>-</v>
      </c>
      <c r="O145" s="20" t="e">
        <f t="shared" ca="1" si="28"/>
        <v>#N/A</v>
      </c>
      <c r="P145" s="21" t="e">
        <f t="shared" ca="1" si="29"/>
        <v>#N/A</v>
      </c>
      <c r="Q145" s="27" t="str">
        <f t="shared" ca="1" si="30"/>
        <v>- / -</v>
      </c>
    </row>
    <row r="146" spans="10:17" x14ac:dyDescent="0.25">
      <c r="J146" s="25">
        <f t="shared" si="31"/>
        <v>137</v>
      </c>
      <c r="K146" s="18" t="str">
        <f t="shared" ca="1" si="24"/>
        <v>-</v>
      </c>
      <c r="L146" s="18" t="str">
        <f t="shared" ca="1" si="25"/>
        <v>-</v>
      </c>
      <c r="M146" s="20" t="str">
        <f t="shared" ca="1" si="26"/>
        <v>-</v>
      </c>
      <c r="N146" s="21" t="str">
        <f t="shared" ca="1" si="27"/>
        <v>-</v>
      </c>
      <c r="O146" s="20" t="e">
        <f t="shared" ca="1" si="28"/>
        <v>#N/A</v>
      </c>
      <c r="P146" s="21" t="e">
        <f t="shared" ca="1" si="29"/>
        <v>#N/A</v>
      </c>
      <c r="Q146" s="27" t="str">
        <f t="shared" ca="1" si="30"/>
        <v>- / -</v>
      </c>
    </row>
    <row r="147" spans="10:17" x14ac:dyDescent="0.25">
      <c r="J147" s="25">
        <f t="shared" si="31"/>
        <v>138</v>
      </c>
      <c r="K147" s="18" t="str">
        <f t="shared" ca="1" si="24"/>
        <v>-</v>
      </c>
      <c r="L147" s="18" t="str">
        <f t="shared" ca="1" si="25"/>
        <v>-</v>
      </c>
      <c r="M147" s="20" t="str">
        <f t="shared" ca="1" si="26"/>
        <v>-</v>
      </c>
      <c r="N147" s="21" t="str">
        <f t="shared" ca="1" si="27"/>
        <v>-</v>
      </c>
      <c r="O147" s="20" t="e">
        <f t="shared" ca="1" si="28"/>
        <v>#N/A</v>
      </c>
      <c r="P147" s="21" t="e">
        <f t="shared" ca="1" si="29"/>
        <v>#N/A</v>
      </c>
      <c r="Q147" s="27" t="str">
        <f t="shared" ca="1" si="30"/>
        <v>- / -</v>
      </c>
    </row>
    <row r="148" spans="10:17" x14ac:dyDescent="0.25">
      <c r="J148" s="25">
        <f t="shared" si="31"/>
        <v>139</v>
      </c>
      <c r="K148" s="18" t="str">
        <f t="shared" ca="1" si="24"/>
        <v>-</v>
      </c>
      <c r="L148" s="18" t="str">
        <f t="shared" ca="1" si="25"/>
        <v>-</v>
      </c>
      <c r="M148" s="20" t="str">
        <f t="shared" ca="1" si="26"/>
        <v>-</v>
      </c>
      <c r="N148" s="21" t="str">
        <f t="shared" ca="1" si="27"/>
        <v>-</v>
      </c>
      <c r="O148" s="20" t="e">
        <f t="shared" ca="1" si="28"/>
        <v>#N/A</v>
      </c>
      <c r="P148" s="21" t="e">
        <f t="shared" ca="1" si="29"/>
        <v>#N/A</v>
      </c>
      <c r="Q148" s="27" t="str">
        <f t="shared" ca="1" si="30"/>
        <v>- / -</v>
      </c>
    </row>
    <row r="149" spans="10:17" x14ac:dyDescent="0.25">
      <c r="J149" s="25">
        <f t="shared" si="31"/>
        <v>140</v>
      </c>
      <c r="K149" s="18" t="str">
        <f t="shared" ca="1" si="24"/>
        <v>-</v>
      </c>
      <c r="L149" s="18" t="str">
        <f t="shared" ca="1" si="25"/>
        <v>-</v>
      </c>
      <c r="M149" s="20" t="str">
        <f t="shared" ca="1" si="26"/>
        <v>-</v>
      </c>
      <c r="N149" s="21" t="str">
        <f t="shared" ca="1" si="27"/>
        <v>-</v>
      </c>
      <c r="O149" s="20" t="e">
        <f t="shared" ca="1" si="28"/>
        <v>#N/A</v>
      </c>
      <c r="P149" s="21" t="e">
        <f t="shared" ca="1" si="29"/>
        <v>#N/A</v>
      </c>
      <c r="Q149" s="27" t="str">
        <f t="shared" ca="1" si="30"/>
        <v>- / -</v>
      </c>
    </row>
    <row r="150" spans="10:17" x14ac:dyDescent="0.25">
      <c r="J150" s="25">
        <f t="shared" si="31"/>
        <v>141</v>
      </c>
      <c r="K150" s="18" t="str">
        <f t="shared" ca="1" si="24"/>
        <v>-</v>
      </c>
      <c r="L150" s="18" t="str">
        <f t="shared" ca="1" si="25"/>
        <v>-</v>
      </c>
      <c r="M150" s="20" t="str">
        <f t="shared" ca="1" si="26"/>
        <v>-</v>
      </c>
      <c r="N150" s="21" t="str">
        <f t="shared" ca="1" si="27"/>
        <v>-</v>
      </c>
      <c r="O150" s="20" t="e">
        <f t="shared" ca="1" si="28"/>
        <v>#N/A</v>
      </c>
      <c r="P150" s="21" t="e">
        <f t="shared" ca="1" si="29"/>
        <v>#N/A</v>
      </c>
      <c r="Q150" s="27" t="str">
        <f t="shared" ca="1" si="30"/>
        <v>- / -</v>
      </c>
    </row>
    <row r="151" spans="10:17" x14ac:dyDescent="0.25">
      <c r="J151" s="25">
        <f t="shared" si="31"/>
        <v>142</v>
      </c>
      <c r="K151" s="18" t="str">
        <f t="shared" ca="1" si="24"/>
        <v>-</v>
      </c>
      <c r="L151" s="18" t="str">
        <f t="shared" ca="1" si="25"/>
        <v>-</v>
      </c>
      <c r="M151" s="20" t="str">
        <f t="shared" ca="1" si="26"/>
        <v>-</v>
      </c>
      <c r="N151" s="21" t="str">
        <f t="shared" ca="1" si="27"/>
        <v>-</v>
      </c>
      <c r="O151" s="20" t="e">
        <f t="shared" ca="1" si="28"/>
        <v>#N/A</v>
      </c>
      <c r="P151" s="21" t="e">
        <f t="shared" ca="1" si="29"/>
        <v>#N/A</v>
      </c>
      <c r="Q151" s="27" t="str">
        <f t="shared" ca="1" si="30"/>
        <v>- / -</v>
      </c>
    </row>
    <row r="152" spans="10:17" x14ac:dyDescent="0.25">
      <c r="J152" s="25">
        <f t="shared" si="31"/>
        <v>143</v>
      </c>
      <c r="K152" s="18" t="str">
        <f t="shared" ca="1" si="24"/>
        <v>-</v>
      </c>
      <c r="L152" s="18" t="str">
        <f t="shared" ca="1" si="25"/>
        <v>-</v>
      </c>
      <c r="M152" s="20" t="str">
        <f t="shared" ca="1" si="26"/>
        <v>-</v>
      </c>
      <c r="N152" s="21" t="str">
        <f t="shared" ca="1" si="27"/>
        <v>-</v>
      </c>
      <c r="O152" s="20" t="e">
        <f t="shared" ca="1" si="28"/>
        <v>#N/A</v>
      </c>
      <c r="P152" s="21" t="e">
        <f t="shared" ca="1" si="29"/>
        <v>#N/A</v>
      </c>
      <c r="Q152" s="27" t="str">
        <f t="shared" ca="1" si="30"/>
        <v>- / -</v>
      </c>
    </row>
    <row r="153" spans="10:17" x14ac:dyDescent="0.25">
      <c r="J153" s="25">
        <f t="shared" si="31"/>
        <v>144</v>
      </c>
      <c r="K153" s="18" t="str">
        <f t="shared" ca="1" si="24"/>
        <v>-</v>
      </c>
      <c r="L153" s="18" t="str">
        <f t="shared" ca="1" si="25"/>
        <v>-</v>
      </c>
      <c r="M153" s="20" t="str">
        <f t="shared" ca="1" si="26"/>
        <v>-</v>
      </c>
      <c r="N153" s="21" t="str">
        <f t="shared" ca="1" si="27"/>
        <v>-</v>
      </c>
      <c r="O153" s="20" t="e">
        <f t="shared" ca="1" si="28"/>
        <v>#N/A</v>
      </c>
      <c r="P153" s="21" t="e">
        <f t="shared" ca="1" si="29"/>
        <v>#N/A</v>
      </c>
      <c r="Q153" s="27" t="str">
        <f t="shared" ca="1" si="30"/>
        <v>- / -</v>
      </c>
    </row>
    <row r="154" spans="10:17" x14ac:dyDescent="0.25">
      <c r="J154" s="25">
        <f t="shared" si="31"/>
        <v>145</v>
      </c>
      <c r="K154" s="18" t="str">
        <f t="shared" ca="1" si="24"/>
        <v>-</v>
      </c>
      <c r="L154" s="18" t="str">
        <f t="shared" ca="1" si="25"/>
        <v>-</v>
      </c>
      <c r="M154" s="20" t="str">
        <f t="shared" ca="1" si="26"/>
        <v>-</v>
      </c>
      <c r="N154" s="21" t="str">
        <f t="shared" ca="1" si="27"/>
        <v>-</v>
      </c>
      <c r="O154" s="20" t="e">
        <f t="shared" ca="1" si="28"/>
        <v>#N/A</v>
      </c>
      <c r="P154" s="21" t="e">
        <f t="shared" ca="1" si="29"/>
        <v>#N/A</v>
      </c>
      <c r="Q154" s="27" t="str">
        <f t="shared" ca="1" si="30"/>
        <v>- / -</v>
      </c>
    </row>
    <row r="155" spans="10:17" x14ac:dyDescent="0.25">
      <c r="J155" s="25">
        <f t="shared" si="31"/>
        <v>146</v>
      </c>
      <c r="K155" s="18" t="str">
        <f t="shared" ca="1" si="24"/>
        <v>-</v>
      </c>
      <c r="L155" s="18" t="str">
        <f t="shared" ca="1" si="25"/>
        <v>-</v>
      </c>
      <c r="M155" s="20" t="str">
        <f t="shared" ca="1" si="26"/>
        <v>-</v>
      </c>
      <c r="N155" s="21" t="str">
        <f t="shared" ca="1" si="27"/>
        <v>-</v>
      </c>
      <c r="O155" s="20" t="e">
        <f t="shared" ca="1" si="28"/>
        <v>#N/A</v>
      </c>
      <c r="P155" s="21" t="e">
        <f t="shared" ca="1" si="29"/>
        <v>#N/A</v>
      </c>
      <c r="Q155" s="27" t="str">
        <f t="shared" ca="1" si="30"/>
        <v>- / -</v>
      </c>
    </row>
    <row r="156" spans="10:17" x14ac:dyDescent="0.25">
      <c r="J156" s="25">
        <f t="shared" si="31"/>
        <v>147</v>
      </c>
      <c r="K156" s="18" t="str">
        <f t="shared" ca="1" si="24"/>
        <v>-</v>
      </c>
      <c r="L156" s="18" t="str">
        <f t="shared" ca="1" si="25"/>
        <v>-</v>
      </c>
      <c r="M156" s="20" t="str">
        <f t="shared" ca="1" si="26"/>
        <v>-</v>
      </c>
      <c r="N156" s="21" t="str">
        <f t="shared" ca="1" si="27"/>
        <v>-</v>
      </c>
      <c r="O156" s="20" t="e">
        <f t="shared" ca="1" si="28"/>
        <v>#N/A</v>
      </c>
      <c r="P156" s="21" t="e">
        <f t="shared" ca="1" si="29"/>
        <v>#N/A</v>
      </c>
      <c r="Q156" s="27" t="str">
        <f t="shared" ca="1" si="30"/>
        <v>- / -</v>
      </c>
    </row>
    <row r="157" spans="10:17" x14ac:dyDescent="0.25">
      <c r="J157" s="25">
        <f t="shared" si="31"/>
        <v>148</v>
      </c>
      <c r="K157" s="18" t="str">
        <f t="shared" ca="1" si="24"/>
        <v>-</v>
      </c>
      <c r="L157" s="18" t="str">
        <f t="shared" ca="1" si="25"/>
        <v>-</v>
      </c>
      <c r="M157" s="20" t="str">
        <f t="shared" ca="1" si="26"/>
        <v>-</v>
      </c>
      <c r="N157" s="21" t="str">
        <f t="shared" ca="1" si="27"/>
        <v>-</v>
      </c>
      <c r="O157" s="20" t="e">
        <f t="shared" ca="1" si="28"/>
        <v>#N/A</v>
      </c>
      <c r="P157" s="21" t="e">
        <f t="shared" ca="1" si="29"/>
        <v>#N/A</v>
      </c>
      <c r="Q157" s="27" t="str">
        <f t="shared" ca="1" si="30"/>
        <v>- / -</v>
      </c>
    </row>
    <row r="158" spans="10:17" x14ac:dyDescent="0.25">
      <c r="J158" s="25">
        <f t="shared" si="31"/>
        <v>149</v>
      </c>
      <c r="K158" s="18" t="str">
        <f t="shared" ca="1" si="24"/>
        <v>-</v>
      </c>
      <c r="L158" s="18" t="str">
        <f t="shared" ca="1" si="25"/>
        <v>-</v>
      </c>
      <c r="M158" s="20" t="str">
        <f t="shared" ca="1" si="26"/>
        <v>-</v>
      </c>
      <c r="N158" s="21" t="str">
        <f t="shared" ca="1" si="27"/>
        <v>-</v>
      </c>
      <c r="O158" s="20" t="e">
        <f t="shared" ca="1" si="28"/>
        <v>#N/A</v>
      </c>
      <c r="P158" s="21" t="e">
        <f t="shared" ca="1" si="29"/>
        <v>#N/A</v>
      </c>
      <c r="Q158" s="27" t="str">
        <f t="shared" ca="1" si="30"/>
        <v>- / -</v>
      </c>
    </row>
    <row r="159" spans="10:17" x14ac:dyDescent="0.25">
      <c r="J159" s="25">
        <f t="shared" si="31"/>
        <v>150</v>
      </c>
      <c r="K159" s="18" t="str">
        <f t="shared" ca="1" si="24"/>
        <v>-</v>
      </c>
      <c r="L159" s="18" t="str">
        <f t="shared" ca="1" si="25"/>
        <v>-</v>
      </c>
      <c r="M159" s="20" t="str">
        <f t="shared" ca="1" si="26"/>
        <v>-</v>
      </c>
      <c r="N159" s="21" t="str">
        <f t="shared" ca="1" si="27"/>
        <v>-</v>
      </c>
      <c r="O159" s="20" t="e">
        <f t="shared" ca="1" si="28"/>
        <v>#N/A</v>
      </c>
      <c r="P159" s="21" t="e">
        <f t="shared" ca="1" si="29"/>
        <v>#N/A</v>
      </c>
      <c r="Q159" s="27" t="str">
        <f t="shared" ca="1" si="30"/>
        <v>- / -</v>
      </c>
    </row>
    <row r="160" spans="10:17" x14ac:dyDescent="0.25">
      <c r="J160" s="25">
        <f t="shared" si="31"/>
        <v>151</v>
      </c>
      <c r="K160" s="18" t="str">
        <f t="shared" ca="1" si="24"/>
        <v>-</v>
      </c>
      <c r="L160" s="18" t="str">
        <f t="shared" ca="1" si="25"/>
        <v>-</v>
      </c>
      <c r="M160" s="20" t="str">
        <f t="shared" ca="1" si="26"/>
        <v>-</v>
      </c>
      <c r="N160" s="21" t="str">
        <f t="shared" ca="1" si="27"/>
        <v>-</v>
      </c>
      <c r="O160" s="20" t="e">
        <f t="shared" ca="1" si="28"/>
        <v>#N/A</v>
      </c>
      <c r="P160" s="21" t="e">
        <f t="shared" ca="1" si="29"/>
        <v>#N/A</v>
      </c>
      <c r="Q160" s="27" t="str">
        <f t="shared" ca="1" si="30"/>
        <v>- / -</v>
      </c>
    </row>
    <row r="161" spans="10:17" x14ac:dyDescent="0.25">
      <c r="J161" s="25">
        <f t="shared" si="31"/>
        <v>152</v>
      </c>
      <c r="K161" s="18" t="str">
        <f t="shared" ca="1" si="24"/>
        <v>-</v>
      </c>
      <c r="L161" s="18" t="str">
        <f t="shared" ca="1" si="25"/>
        <v>-</v>
      </c>
      <c r="M161" s="20" t="str">
        <f t="shared" ca="1" si="26"/>
        <v>-</v>
      </c>
      <c r="N161" s="21" t="str">
        <f t="shared" ca="1" si="27"/>
        <v>-</v>
      </c>
      <c r="O161" s="20" t="e">
        <f t="shared" ca="1" si="28"/>
        <v>#N/A</v>
      </c>
      <c r="P161" s="21" t="e">
        <f t="shared" ca="1" si="29"/>
        <v>#N/A</v>
      </c>
      <c r="Q161" s="27" t="str">
        <f t="shared" ca="1" si="30"/>
        <v>- / -</v>
      </c>
    </row>
    <row r="162" spans="10:17" x14ac:dyDescent="0.25">
      <c r="J162" s="25">
        <f t="shared" si="31"/>
        <v>153</v>
      </c>
      <c r="K162" s="18" t="str">
        <f t="shared" ca="1" si="24"/>
        <v>-</v>
      </c>
      <c r="L162" s="18" t="str">
        <f t="shared" ca="1" si="25"/>
        <v>-</v>
      </c>
      <c r="M162" s="20" t="str">
        <f t="shared" ca="1" si="26"/>
        <v>-</v>
      </c>
      <c r="N162" s="21" t="str">
        <f t="shared" ca="1" si="27"/>
        <v>-</v>
      </c>
      <c r="O162" s="20" t="e">
        <f t="shared" ca="1" si="28"/>
        <v>#N/A</v>
      </c>
      <c r="P162" s="21" t="e">
        <f t="shared" ca="1" si="29"/>
        <v>#N/A</v>
      </c>
      <c r="Q162" s="27" t="str">
        <f t="shared" ca="1" si="30"/>
        <v>- / -</v>
      </c>
    </row>
    <row r="163" spans="10:17" x14ac:dyDescent="0.25">
      <c r="J163" s="25">
        <f t="shared" si="31"/>
        <v>154</v>
      </c>
      <c r="K163" s="18" t="str">
        <f t="shared" ca="1" si="24"/>
        <v>-</v>
      </c>
      <c r="L163" s="18" t="str">
        <f t="shared" ca="1" si="25"/>
        <v>-</v>
      </c>
      <c r="M163" s="20" t="str">
        <f t="shared" ca="1" si="26"/>
        <v>-</v>
      </c>
      <c r="N163" s="21" t="str">
        <f t="shared" ca="1" si="27"/>
        <v>-</v>
      </c>
      <c r="O163" s="20" t="e">
        <f t="shared" ca="1" si="28"/>
        <v>#N/A</v>
      </c>
      <c r="P163" s="21" t="e">
        <f t="shared" ca="1" si="29"/>
        <v>#N/A</v>
      </c>
      <c r="Q163" s="27" t="str">
        <f t="shared" ca="1" si="30"/>
        <v>- / -</v>
      </c>
    </row>
    <row r="164" spans="10:17" x14ac:dyDescent="0.25">
      <c r="J164" s="26">
        <f t="shared" si="31"/>
        <v>155</v>
      </c>
      <c r="K164" s="19" t="str">
        <f t="shared" ca="1" si="24"/>
        <v>-</v>
      </c>
      <c r="L164" s="19" t="str">
        <f t="shared" ca="1" si="25"/>
        <v>-</v>
      </c>
      <c r="M164" s="22" t="str">
        <f t="shared" ca="1" si="26"/>
        <v>-</v>
      </c>
      <c r="N164" s="23" t="str">
        <f t="shared" ca="1" si="27"/>
        <v>-</v>
      </c>
      <c r="O164" s="20" t="e">
        <f t="shared" ca="1" si="28"/>
        <v>#N/A</v>
      </c>
      <c r="P164" s="23" t="e">
        <f t="shared" ca="1" si="29"/>
        <v>#N/A</v>
      </c>
      <c r="Q164" s="27" t="str">
        <f t="shared" ca="1" si="30"/>
        <v>- / -</v>
      </c>
    </row>
  </sheetData>
  <autoFilter ref="K10:P164"/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LIST!$F$6:$F$7</xm:f>
          </x14:formula1>
          <xm:sqref>E4:E5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H33"/>
  <sheetViews>
    <sheetView workbookViewId="0">
      <selection activeCell="P33" sqref="A1:P33"/>
    </sheetView>
  </sheetViews>
  <sheetFormatPr defaultRowHeight="15" x14ac:dyDescent="0.25"/>
  <cols>
    <col min="2" max="2" width="27.42578125" bestFit="1" customWidth="1"/>
    <col min="3" max="3" width="18.42578125" bestFit="1" customWidth="1"/>
    <col min="4" max="4" width="41.140625" bestFit="1" customWidth="1"/>
    <col min="5" max="5" width="22.28515625" bestFit="1" customWidth="1"/>
  </cols>
  <sheetData>
    <row r="2" spans="2:8" x14ac:dyDescent="0.25">
      <c r="B2" t="str">
        <f>SUBSTITUTE(Analysis!D11,"|","\")</f>
        <v>FILTER</v>
      </c>
      <c r="C2" t="str">
        <f>SUBSTITUTE(Analysis!C11,"|","\")</f>
        <v>FILTER</v>
      </c>
      <c r="D2" t="str">
        <f>SUBSTITUTE(Analysis!F11,"|","\")</f>
        <v>FILTER</v>
      </c>
      <c r="E2" t="s">
        <v>13</v>
      </c>
      <c r="F2" t="s">
        <v>12</v>
      </c>
      <c r="G2" t="s">
        <v>11</v>
      </c>
      <c r="H2" t="str">
        <f>"| "&amp;B2&amp;" | "&amp;C2&amp;" | "&amp;E2&amp;" | "&amp;F2&amp;" | "&amp;G2&amp;" | "</f>
        <v xml:space="preserve">| FILTER | FILTER | Ventilation Fans: Heating energy (GJ) | HRV:  Heating energy (GJ) | Savings | </v>
      </c>
    </row>
    <row r="3" spans="2:8" x14ac:dyDescent="0.25">
      <c r="B3" t="str">
        <f ca="1">SUBSTITUTE(Analysis!D12,"|","\")</f>
        <v/>
      </c>
      <c r="C3" t="str">
        <f ca="1">SUBSTITUTE(Analysis!C12,"|","\")</f>
        <v/>
      </c>
      <c r="D3" t="str">
        <f ca="1">Analysis!F12</f>
        <v/>
      </c>
      <c r="E3" t="str">
        <f ca="1">Analysis!I12</f>
        <v/>
      </c>
      <c r="F3" t="str">
        <f ca="1">E4</f>
        <v/>
      </c>
      <c r="G3" s="13" t="e">
        <f ca="1">ROUND((E3-F3)/E3*100,1)&amp;"%"</f>
        <v>#VALUE!</v>
      </c>
      <c r="H3" t="str">
        <f>"| "&amp;"--------"&amp;" | "&amp;"--------"&amp;" | "&amp;"--------"&amp;" | "&amp;"--------"&amp;" | "&amp;"--------"&amp;" | "</f>
        <v xml:space="preserve">| -------- | -------- | -------- | -------- | -------- | </v>
      </c>
    </row>
    <row r="4" spans="2:8" x14ac:dyDescent="0.25">
      <c r="B4" t="str">
        <f ca="1">SUBSTITUTE(Analysis!D13,"|","\")</f>
        <v/>
      </c>
      <c r="C4" t="str">
        <f ca="1">SUBSTITUTE(Analysis!C13,"|","\")</f>
        <v/>
      </c>
      <c r="D4" t="str">
        <f ca="1">Analysis!F13</f>
        <v/>
      </c>
      <c r="E4" t="str">
        <f ca="1">Analysis!I13</f>
        <v/>
      </c>
      <c r="H4" t="e">
        <f ca="1">"| "&amp;B3&amp;" | "&amp;C3&amp;" | "&amp;E3&amp;" | "&amp;F3&amp;" | "&amp;G3&amp;" | "</f>
        <v>#VALUE!</v>
      </c>
    </row>
    <row r="5" spans="2:8" x14ac:dyDescent="0.25">
      <c r="B5" t="str">
        <f ca="1">SUBSTITUTE(Analysis!D14,"|","\")</f>
        <v/>
      </c>
      <c r="C5" t="str">
        <f ca="1">SUBSTITUTE(Analysis!C14,"|","\")</f>
        <v/>
      </c>
      <c r="D5" t="str">
        <f ca="1">Analysis!F14</f>
        <v/>
      </c>
      <c r="E5" t="str">
        <f ca="1">Analysis!I14</f>
        <v/>
      </c>
      <c r="F5" t="str">
        <f ca="1">E6</f>
        <v/>
      </c>
      <c r="G5" s="13" t="e">
        <f ca="1">ROUND((E5-F5)/E5*100,1)&amp;"%"</f>
        <v>#VALUE!</v>
      </c>
      <c r="H5" t="str">
        <f t="shared" ref="H5:H27" ca="1" si="0">"| "&amp;B4&amp;" | "&amp;C4&amp;" | "&amp;E4&amp;" | "&amp;F4&amp;" | "&amp;G4&amp;" | "</f>
        <v xml:space="preserve">|  |  |  |  |  | </v>
      </c>
    </row>
    <row r="6" spans="2:8" x14ac:dyDescent="0.25">
      <c r="B6" t="str">
        <f ca="1">SUBSTITUTE(Analysis!D15,"|","\")</f>
        <v/>
      </c>
      <c r="C6" t="str">
        <f ca="1">SUBSTITUTE(Analysis!C15,"|","\")</f>
        <v/>
      </c>
      <c r="D6" t="str">
        <f ca="1">Analysis!F15</f>
        <v/>
      </c>
      <c r="E6" t="str">
        <f ca="1">Analysis!I15</f>
        <v/>
      </c>
      <c r="H6" t="e">
        <f t="shared" ca="1" si="0"/>
        <v>#VALUE!</v>
      </c>
    </row>
    <row r="7" spans="2:8" x14ac:dyDescent="0.25">
      <c r="B7" t="str">
        <f ca="1">SUBSTITUTE(Analysis!D16,"|","\")</f>
        <v/>
      </c>
      <c r="C7" t="str">
        <f ca="1">SUBSTITUTE(Analysis!C16,"|","\")</f>
        <v/>
      </c>
      <c r="D7" t="str">
        <f ca="1">Analysis!F16</f>
        <v/>
      </c>
      <c r="E7" t="str">
        <f ca="1">Analysis!I16</f>
        <v/>
      </c>
      <c r="F7" t="str">
        <f ca="1">E8</f>
        <v/>
      </c>
      <c r="G7" s="13" t="e">
        <f ca="1">ROUND((E7-F7)/E7*100,1)&amp;"%"</f>
        <v>#VALUE!</v>
      </c>
      <c r="H7" t="str">
        <f t="shared" ca="1" si="0"/>
        <v xml:space="preserve">|  |  |  |  |  | </v>
      </c>
    </row>
    <row r="8" spans="2:8" x14ac:dyDescent="0.25">
      <c r="B8" t="str">
        <f ca="1">SUBSTITUTE(Analysis!D17,"|","\")</f>
        <v/>
      </c>
      <c r="C8" t="str">
        <f ca="1">SUBSTITUTE(Analysis!C17,"|","\")</f>
        <v/>
      </c>
      <c r="D8" t="str">
        <f ca="1">Analysis!F17</f>
        <v/>
      </c>
      <c r="E8" t="str">
        <f ca="1">Analysis!I17</f>
        <v/>
      </c>
      <c r="H8" t="e">
        <f t="shared" ca="1" si="0"/>
        <v>#VALUE!</v>
      </c>
    </row>
    <row r="9" spans="2:8" x14ac:dyDescent="0.25">
      <c r="B9" t="str">
        <f ca="1">SUBSTITUTE(Analysis!D18,"|","\")</f>
        <v/>
      </c>
      <c r="C9" t="str">
        <f ca="1">SUBSTITUTE(Analysis!C18,"|","\")</f>
        <v/>
      </c>
      <c r="D9" t="str">
        <f ca="1">Analysis!F18</f>
        <v/>
      </c>
      <c r="E9" t="str">
        <f ca="1">Analysis!I18</f>
        <v/>
      </c>
      <c r="F9" t="str">
        <f ca="1">E10</f>
        <v/>
      </c>
      <c r="G9" s="13" t="e">
        <f ca="1">ROUND((E9-F9)/E9*100,1)&amp;"%"</f>
        <v>#VALUE!</v>
      </c>
      <c r="H9" t="str">
        <f t="shared" ca="1" si="0"/>
        <v xml:space="preserve">|  |  |  |  |  | </v>
      </c>
    </row>
    <row r="10" spans="2:8" x14ac:dyDescent="0.25">
      <c r="B10" t="str">
        <f ca="1">SUBSTITUTE(Analysis!D19,"|","\")</f>
        <v/>
      </c>
      <c r="C10" t="str">
        <f ca="1">SUBSTITUTE(Analysis!C19,"|","\")</f>
        <v/>
      </c>
      <c r="D10" t="str">
        <f ca="1">Analysis!F19</f>
        <v/>
      </c>
      <c r="E10" t="str">
        <f ca="1">Analysis!I19</f>
        <v/>
      </c>
      <c r="H10" t="e">
        <f t="shared" ca="1" si="0"/>
        <v>#VALUE!</v>
      </c>
    </row>
    <row r="11" spans="2:8" x14ac:dyDescent="0.25">
      <c r="B11" t="str">
        <f ca="1">SUBSTITUTE(Analysis!D20,"|","\")</f>
        <v/>
      </c>
      <c r="C11" t="str">
        <f ca="1">SUBSTITUTE(Analysis!C20,"|","\")</f>
        <v/>
      </c>
      <c r="D11" t="str">
        <f ca="1">Analysis!F20</f>
        <v/>
      </c>
      <c r="E11" t="str">
        <f ca="1">Analysis!I20</f>
        <v/>
      </c>
      <c r="F11" t="str">
        <f ca="1">E12</f>
        <v/>
      </c>
      <c r="G11" s="13" t="e">
        <f ca="1">ROUND((E11-F11)/E11*100,1)&amp;"%"</f>
        <v>#VALUE!</v>
      </c>
      <c r="H11" t="str">
        <f t="shared" ca="1" si="0"/>
        <v xml:space="preserve">|  |  |  |  |  | </v>
      </c>
    </row>
    <row r="12" spans="2:8" x14ac:dyDescent="0.25">
      <c r="B12" t="str">
        <f ca="1">SUBSTITUTE(Analysis!D21,"|","\")</f>
        <v/>
      </c>
      <c r="C12" t="str">
        <f ca="1">SUBSTITUTE(Analysis!C21,"|","\")</f>
        <v/>
      </c>
      <c r="D12" t="str">
        <f ca="1">Analysis!F21</f>
        <v/>
      </c>
      <c r="E12" t="str">
        <f ca="1">Analysis!I21</f>
        <v/>
      </c>
      <c r="H12" t="e">
        <f t="shared" ca="1" si="0"/>
        <v>#VALUE!</v>
      </c>
    </row>
    <row r="13" spans="2:8" x14ac:dyDescent="0.25">
      <c r="B13" t="str">
        <f ca="1">SUBSTITUTE(Analysis!D22,"|","\")</f>
        <v/>
      </c>
      <c r="C13" t="str">
        <f ca="1">SUBSTITUTE(Analysis!C22,"|","\")</f>
        <v/>
      </c>
      <c r="D13" t="str">
        <f ca="1">Analysis!F22</f>
        <v/>
      </c>
      <c r="E13" t="str">
        <f ca="1">Analysis!I22</f>
        <v/>
      </c>
      <c r="F13" t="str">
        <f ca="1">E14</f>
        <v/>
      </c>
      <c r="G13" s="13" t="e">
        <f ca="1">ROUND((E13-F13)/E13*100,1)&amp;"%"</f>
        <v>#VALUE!</v>
      </c>
      <c r="H13" t="str">
        <f t="shared" ca="1" si="0"/>
        <v xml:space="preserve">|  |  |  |  |  | </v>
      </c>
    </row>
    <row r="14" spans="2:8" x14ac:dyDescent="0.25">
      <c r="B14" t="str">
        <f ca="1">SUBSTITUTE(Analysis!D23,"|","\")</f>
        <v/>
      </c>
      <c r="C14" t="str">
        <f ca="1">SUBSTITUTE(Analysis!C23,"|","\")</f>
        <v/>
      </c>
      <c r="D14" t="str">
        <f ca="1">Analysis!F23</f>
        <v/>
      </c>
      <c r="E14" t="str">
        <f ca="1">Analysis!I23</f>
        <v/>
      </c>
      <c r="H14" t="e">
        <f t="shared" ca="1" si="0"/>
        <v>#VALUE!</v>
      </c>
    </row>
    <row r="15" spans="2:8" x14ac:dyDescent="0.25">
      <c r="B15" t="str">
        <f ca="1">SUBSTITUTE(Analysis!D24,"|","\")</f>
        <v/>
      </c>
      <c r="C15" t="str">
        <f ca="1">SUBSTITUTE(Analysis!C24,"|","\")</f>
        <v/>
      </c>
      <c r="D15" t="str">
        <f ca="1">Analysis!F24</f>
        <v/>
      </c>
      <c r="E15" t="str">
        <f ca="1">Analysis!I24</f>
        <v/>
      </c>
      <c r="F15" t="str">
        <f ca="1">E16</f>
        <v/>
      </c>
      <c r="G15" s="13" t="e">
        <f ca="1">ROUND((E15-F15)/E15*100,1)&amp;"%"</f>
        <v>#VALUE!</v>
      </c>
      <c r="H15" t="str">
        <f t="shared" ca="1" si="0"/>
        <v xml:space="preserve">|  |  |  |  |  | </v>
      </c>
    </row>
    <row r="16" spans="2:8" x14ac:dyDescent="0.25">
      <c r="B16" t="str">
        <f ca="1">SUBSTITUTE(Analysis!D25,"|","\")</f>
        <v/>
      </c>
      <c r="C16" t="str">
        <f ca="1">SUBSTITUTE(Analysis!C25,"|","\")</f>
        <v/>
      </c>
      <c r="D16" t="str">
        <f ca="1">Analysis!F25</f>
        <v/>
      </c>
      <c r="E16" t="str">
        <f ca="1">Analysis!I25</f>
        <v/>
      </c>
      <c r="H16" t="e">
        <f t="shared" ca="1" si="0"/>
        <v>#VALUE!</v>
      </c>
    </row>
    <row r="17" spans="2:8" x14ac:dyDescent="0.25">
      <c r="B17" t="str">
        <f ca="1">SUBSTITUTE(Analysis!D26,"|","\")</f>
        <v/>
      </c>
      <c r="C17" t="str">
        <f ca="1">SUBSTITUTE(Analysis!C26,"|","\")</f>
        <v/>
      </c>
      <c r="D17" t="str">
        <f ca="1">Analysis!F26</f>
        <v/>
      </c>
      <c r="E17" t="str">
        <f ca="1">Analysis!I26</f>
        <v/>
      </c>
      <c r="F17" t="str">
        <f ca="1">E18</f>
        <v/>
      </c>
      <c r="G17" s="13" t="e">
        <f ca="1">ROUND((E17-F17)/E17*100,1)&amp;"%"</f>
        <v>#VALUE!</v>
      </c>
      <c r="H17" t="str">
        <f t="shared" ca="1" si="0"/>
        <v xml:space="preserve">|  |  |  |  |  | </v>
      </c>
    </row>
    <row r="18" spans="2:8" x14ac:dyDescent="0.25">
      <c r="B18" t="str">
        <f ca="1">SUBSTITUTE(Analysis!D27,"|","\")</f>
        <v/>
      </c>
      <c r="C18" t="str">
        <f ca="1">SUBSTITUTE(Analysis!C27,"|","\")</f>
        <v/>
      </c>
      <c r="D18" t="str">
        <f ca="1">Analysis!F27</f>
        <v/>
      </c>
      <c r="E18" t="str">
        <f ca="1">Analysis!I27</f>
        <v/>
      </c>
      <c r="H18" t="e">
        <f t="shared" ca="1" si="0"/>
        <v>#VALUE!</v>
      </c>
    </row>
    <row r="19" spans="2:8" x14ac:dyDescent="0.25">
      <c r="B19" t="str">
        <f ca="1">SUBSTITUTE(Analysis!D28,"|","\")</f>
        <v/>
      </c>
      <c r="C19" t="str">
        <f ca="1">SUBSTITUTE(Analysis!C28,"|","\")</f>
        <v/>
      </c>
      <c r="D19" t="str">
        <f ca="1">Analysis!F28</f>
        <v/>
      </c>
      <c r="E19" t="str">
        <f ca="1">Analysis!I28</f>
        <v/>
      </c>
      <c r="F19" t="str">
        <f ca="1">E20</f>
        <v/>
      </c>
      <c r="G19" s="13" t="e">
        <f ca="1">ROUND((E19-F19)/E19*100,1)&amp;"%"</f>
        <v>#VALUE!</v>
      </c>
      <c r="H19" t="str">
        <f t="shared" ca="1" si="0"/>
        <v xml:space="preserve">|  |  |  |  |  | </v>
      </c>
    </row>
    <row r="20" spans="2:8" x14ac:dyDescent="0.25">
      <c r="B20" t="str">
        <f ca="1">SUBSTITUTE(Analysis!D29,"|","\")</f>
        <v/>
      </c>
      <c r="C20" t="str">
        <f ca="1">SUBSTITUTE(Analysis!C29,"|","\")</f>
        <v/>
      </c>
      <c r="D20" t="str">
        <f ca="1">Analysis!F29</f>
        <v/>
      </c>
      <c r="E20" t="str">
        <f ca="1">Analysis!I29</f>
        <v/>
      </c>
      <c r="H20" t="e">
        <f t="shared" ca="1" si="0"/>
        <v>#VALUE!</v>
      </c>
    </row>
    <row r="21" spans="2:8" x14ac:dyDescent="0.25">
      <c r="B21" t="str">
        <f ca="1">SUBSTITUTE(Analysis!D30,"|","\")</f>
        <v/>
      </c>
      <c r="C21" t="str">
        <f ca="1">SUBSTITUTE(Analysis!C30,"|","\")</f>
        <v/>
      </c>
      <c r="D21" t="str">
        <f ca="1">Analysis!F30</f>
        <v/>
      </c>
      <c r="E21" t="str">
        <f ca="1">Analysis!I30</f>
        <v/>
      </c>
      <c r="F21" t="str">
        <f ca="1">E22</f>
        <v/>
      </c>
      <c r="G21" s="13" t="e">
        <f ca="1">ROUND((E21-F21)/E21*100,1)&amp;"%"</f>
        <v>#VALUE!</v>
      </c>
      <c r="H21" t="str">
        <f t="shared" ca="1" si="0"/>
        <v xml:space="preserve">|  |  |  |  |  | </v>
      </c>
    </row>
    <row r="22" spans="2:8" x14ac:dyDescent="0.25">
      <c r="B22" t="str">
        <f ca="1">SUBSTITUTE(Analysis!D31,"|","\")</f>
        <v/>
      </c>
      <c r="C22" t="str">
        <f ca="1">SUBSTITUTE(Analysis!C31,"|","\")</f>
        <v/>
      </c>
      <c r="D22" t="str">
        <f ca="1">Analysis!F31</f>
        <v/>
      </c>
      <c r="E22" t="str">
        <f ca="1">Analysis!I31</f>
        <v/>
      </c>
      <c r="H22" t="e">
        <f t="shared" ca="1" si="0"/>
        <v>#VALUE!</v>
      </c>
    </row>
    <row r="23" spans="2:8" x14ac:dyDescent="0.25">
      <c r="B23" t="str">
        <f ca="1">SUBSTITUTE(Analysis!D32,"|","\")</f>
        <v/>
      </c>
      <c r="C23" t="str">
        <f ca="1">SUBSTITUTE(Analysis!C32,"|","\")</f>
        <v/>
      </c>
      <c r="D23" t="str">
        <f ca="1">Analysis!F32</f>
        <v/>
      </c>
      <c r="E23" t="str">
        <f ca="1">Analysis!I32</f>
        <v/>
      </c>
      <c r="F23" t="str">
        <f ca="1">E24</f>
        <v/>
      </c>
      <c r="G23" s="13" t="e">
        <f ca="1">ROUND((E23-F23)/E23*100,1)&amp;"%"</f>
        <v>#VALUE!</v>
      </c>
      <c r="H23" t="str">
        <f t="shared" ca="1" si="0"/>
        <v xml:space="preserve">|  |  |  |  |  | </v>
      </c>
    </row>
    <row r="24" spans="2:8" x14ac:dyDescent="0.25">
      <c r="B24" t="str">
        <f ca="1">SUBSTITUTE(Analysis!D33,"|","\")</f>
        <v/>
      </c>
      <c r="C24" t="str">
        <f ca="1">SUBSTITUTE(Analysis!C33,"|","\")</f>
        <v/>
      </c>
      <c r="D24" t="str">
        <f ca="1">Analysis!F33</f>
        <v/>
      </c>
      <c r="E24" t="str">
        <f ca="1">Analysis!I33</f>
        <v/>
      </c>
      <c r="H24" t="e">
        <f t="shared" ca="1" si="0"/>
        <v>#VALUE!</v>
      </c>
    </row>
    <row r="25" spans="2:8" x14ac:dyDescent="0.25">
      <c r="B25" t="str">
        <f ca="1">SUBSTITUTE(Analysis!D34,"|","\")</f>
        <v/>
      </c>
      <c r="C25" t="str">
        <f ca="1">SUBSTITUTE(Analysis!C34,"|","\")</f>
        <v/>
      </c>
      <c r="D25" t="str">
        <f ca="1">Analysis!F34</f>
        <v/>
      </c>
      <c r="E25" t="str">
        <f ca="1">Analysis!I34</f>
        <v/>
      </c>
      <c r="F25" t="str">
        <f ca="1">E26</f>
        <v/>
      </c>
      <c r="G25" s="13" t="e">
        <f ca="1">ROUND((E25-F25)/E25*100,1)&amp;"%"</f>
        <v>#VALUE!</v>
      </c>
      <c r="H25" t="str">
        <f t="shared" ca="1" si="0"/>
        <v xml:space="preserve">|  |  |  |  |  | </v>
      </c>
    </row>
    <row r="26" spans="2:8" x14ac:dyDescent="0.25">
      <c r="B26" t="str">
        <f ca="1">SUBSTITUTE(Analysis!D35,"|","\")</f>
        <v/>
      </c>
      <c r="C26" t="str">
        <f ca="1">SUBSTITUTE(Analysis!C35,"|","\")</f>
        <v/>
      </c>
      <c r="D26" t="str">
        <f ca="1">Analysis!F35</f>
        <v/>
      </c>
      <c r="E26" t="str">
        <f ca="1">Analysis!I35</f>
        <v/>
      </c>
      <c r="H26" t="e">
        <f t="shared" ca="1" si="0"/>
        <v>#VALUE!</v>
      </c>
    </row>
    <row r="27" spans="2:8" x14ac:dyDescent="0.25">
      <c r="B27" t="str">
        <f ca="1">Analysis!C36</f>
        <v/>
      </c>
      <c r="C27" t="str">
        <f ca="1">Analysis!D36</f>
        <v/>
      </c>
      <c r="D27" t="str">
        <f ca="1">Analysis!F36</f>
        <v/>
      </c>
      <c r="H27" t="str">
        <f t="shared" ca="1" si="0"/>
        <v xml:space="preserve">|  |  |  |  |  | </v>
      </c>
    </row>
    <row r="28" spans="2:8" x14ac:dyDescent="0.25">
      <c r="B28" t="str">
        <f ca="1">Analysis!C37</f>
        <v/>
      </c>
      <c r="C28" t="str">
        <f ca="1">Analysis!D37</f>
        <v/>
      </c>
      <c r="D28" t="str">
        <f ca="1">Analysis!F37</f>
        <v/>
      </c>
    </row>
    <row r="29" spans="2:8" x14ac:dyDescent="0.25">
      <c r="B29" t="str">
        <f ca="1">Analysis!C38</f>
        <v/>
      </c>
      <c r="C29" t="str">
        <f ca="1">Analysis!D38</f>
        <v/>
      </c>
      <c r="D29" t="str">
        <f ca="1">Analysis!F38</f>
        <v/>
      </c>
    </row>
    <row r="30" spans="2:8" x14ac:dyDescent="0.25">
      <c r="B30" t="str">
        <f ca="1">Analysis!C39</f>
        <v/>
      </c>
      <c r="C30" t="str">
        <f ca="1">Analysis!D39</f>
        <v/>
      </c>
      <c r="D30" t="str">
        <f ca="1">Analysis!F39</f>
        <v/>
      </c>
    </row>
    <row r="31" spans="2:8" x14ac:dyDescent="0.25">
      <c r="B31" t="str">
        <f ca="1">Analysis!C40</f>
        <v/>
      </c>
      <c r="C31" t="str">
        <f ca="1">Analysis!D40</f>
        <v/>
      </c>
      <c r="D31" t="str">
        <f ca="1">Analysis!F40</f>
        <v/>
      </c>
    </row>
    <row r="32" spans="2:8" x14ac:dyDescent="0.25">
      <c r="B32" t="str">
        <f ca="1">Analysis!C41</f>
        <v/>
      </c>
      <c r="C32" t="str">
        <f ca="1">Analysis!D41</f>
        <v/>
      </c>
      <c r="D32" t="str">
        <f ca="1">Analysis!F41</f>
        <v/>
      </c>
    </row>
    <row r="33" spans="2:4" x14ac:dyDescent="0.25">
      <c r="B33" t="str">
        <f ca="1">Analysis!C42</f>
        <v/>
      </c>
      <c r="C33" t="str">
        <f ca="1">Analysis!D42</f>
        <v/>
      </c>
      <c r="D33" t="str">
        <f ca="1">Analysis!F42</f>
        <v/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FS1000"/>
    </sheetView>
  </sheetViews>
  <sheetFormatPr defaultRowHeight="15" x14ac:dyDescent="0.25"/>
  <cols>
    <col min="1" max="1" width="36.7109375" bestFit="1" customWidth="1"/>
    <col min="2" max="2" width="28.5703125" bestFit="1" customWidth="1"/>
    <col min="3" max="3" width="25.85546875" bestFit="1" customWidth="1"/>
    <col min="4" max="4" width="24.5703125" bestFit="1" customWidth="1"/>
    <col min="5" max="5" width="23.85546875" bestFit="1" customWidth="1"/>
    <col min="6" max="6" width="27.5703125" bestFit="1" customWidth="1"/>
    <col min="7" max="7" width="31.85546875" bestFit="1" customWidth="1"/>
    <col min="8" max="8" width="26.140625" bestFit="1" customWidth="1"/>
    <col min="9" max="9" width="25.140625" bestFit="1" customWidth="1"/>
    <col min="10" max="10" width="23.28515625" bestFit="1" customWidth="1"/>
    <col min="11" max="11" width="27.140625" bestFit="1" customWidth="1"/>
    <col min="12" max="12" width="23.5703125" bestFit="1" customWidth="1"/>
    <col min="13" max="13" width="28" bestFit="1" customWidth="1"/>
    <col min="14" max="14" width="21.7109375" bestFit="1" customWidth="1"/>
    <col min="15" max="15" width="22.28515625" bestFit="1" customWidth="1"/>
    <col min="16" max="16" width="22.42578125" bestFit="1" customWidth="1"/>
    <col min="17" max="17" width="24.140625" bestFit="1" customWidth="1"/>
    <col min="18" max="18" width="27.140625" bestFit="1" customWidth="1"/>
    <col min="19" max="19" width="24" bestFit="1" customWidth="1"/>
    <col min="20" max="20" width="24.140625" bestFit="1" customWidth="1"/>
    <col min="21" max="21" width="21.85546875" bestFit="1" customWidth="1"/>
    <col min="22" max="22" width="28.140625" bestFit="1" customWidth="1"/>
    <col min="23" max="23" width="25.28515625" bestFit="1" customWidth="1"/>
    <col min="24" max="24" width="24.85546875" bestFit="1" customWidth="1"/>
    <col min="25" max="25" width="25.28515625" bestFit="1" customWidth="1"/>
    <col min="26" max="26" width="26.42578125" bestFit="1" customWidth="1"/>
    <col min="27" max="27" width="27.28515625" bestFit="1" customWidth="1"/>
    <col min="28" max="28" width="24.85546875" bestFit="1" customWidth="1"/>
    <col min="29" max="29" width="26" bestFit="1" customWidth="1"/>
    <col min="30" max="30" width="26.85546875" bestFit="1" customWidth="1"/>
    <col min="31" max="31" width="25.85546875" bestFit="1" customWidth="1"/>
    <col min="32" max="32" width="24" bestFit="1" customWidth="1"/>
    <col min="33" max="33" width="24.42578125" bestFit="1" customWidth="1"/>
    <col min="34" max="34" width="25.5703125" bestFit="1" customWidth="1"/>
    <col min="35" max="35" width="26.42578125" bestFit="1" customWidth="1"/>
    <col min="36" max="36" width="24" bestFit="1" customWidth="1"/>
    <col min="37" max="37" width="25" bestFit="1" customWidth="1"/>
    <col min="38" max="38" width="26" bestFit="1" customWidth="1"/>
    <col min="39" max="39" width="24.85546875" bestFit="1" customWidth="1"/>
    <col min="40" max="40" width="22" bestFit="1" customWidth="1"/>
    <col min="41" max="41" width="22.42578125" bestFit="1" customWidth="1"/>
    <col min="42" max="42" width="23.42578125" bestFit="1" customWidth="1"/>
    <col min="43" max="43" width="24.28515625" bestFit="1" customWidth="1"/>
    <col min="44" max="44" width="22" bestFit="1" customWidth="1"/>
    <col min="45" max="45" width="23" bestFit="1" customWidth="1"/>
    <col min="46" max="46" width="23.85546875" bestFit="1" customWidth="1"/>
    <col min="47" max="48" width="22.85546875" bestFit="1" customWidth="1"/>
    <col min="49" max="49" width="27" bestFit="1" customWidth="1"/>
    <col min="50" max="50" width="29.28515625" bestFit="1" customWidth="1"/>
    <col min="51" max="51" width="27.42578125" bestFit="1" customWidth="1"/>
    <col min="52" max="52" width="23.5703125" bestFit="1" customWidth="1"/>
    <col min="53" max="53" width="24.5703125" bestFit="1" customWidth="1"/>
    <col min="54" max="54" width="30.7109375" bestFit="1" customWidth="1"/>
    <col min="55" max="55" width="26" bestFit="1" customWidth="1"/>
    <col min="56" max="56" width="25" bestFit="1" customWidth="1"/>
    <col min="57" max="57" width="26.7109375" bestFit="1" customWidth="1"/>
    <col min="58" max="58" width="21" bestFit="1" customWidth="1"/>
    <col min="59" max="59" width="19.85546875" bestFit="1" customWidth="1"/>
    <col min="60" max="60" width="38.28515625" bestFit="1" customWidth="1"/>
    <col min="61" max="61" width="42.5703125" bestFit="1" customWidth="1"/>
    <col min="62" max="62" width="41.5703125" bestFit="1" customWidth="1"/>
    <col min="63" max="63" width="42.42578125" bestFit="1" customWidth="1"/>
    <col min="64" max="64" width="34.85546875" bestFit="1" customWidth="1"/>
    <col min="65" max="65" width="39.5703125" bestFit="1" customWidth="1"/>
    <col min="66" max="66" width="36.7109375" bestFit="1" customWidth="1"/>
    <col min="67" max="67" width="46.5703125" bestFit="1" customWidth="1"/>
    <col min="68" max="68" width="45.7109375" bestFit="1" customWidth="1"/>
    <col min="69" max="69" width="42.140625" bestFit="1" customWidth="1"/>
    <col min="70" max="70" width="42.28515625" bestFit="1" customWidth="1"/>
    <col min="71" max="71" width="51.140625" bestFit="1" customWidth="1"/>
    <col min="72" max="72" width="50.85546875" bestFit="1" customWidth="1"/>
    <col min="73" max="73" width="56.5703125" bestFit="1" customWidth="1"/>
    <col min="74" max="74" width="53.42578125" bestFit="1" customWidth="1"/>
    <col min="75" max="75" width="47.5703125" bestFit="1" customWidth="1"/>
    <col min="76" max="76" width="43.42578125" bestFit="1" customWidth="1"/>
    <col min="77" max="77" width="45.42578125" bestFit="1" customWidth="1"/>
    <col min="78" max="78" width="47.140625" bestFit="1" customWidth="1"/>
    <col min="79" max="79" width="46.7109375" bestFit="1" customWidth="1"/>
    <col min="80" max="80" width="23.5703125" bestFit="1" customWidth="1"/>
    <col min="81" max="81" width="33" bestFit="1" customWidth="1"/>
    <col min="82" max="82" width="20.5703125" bestFit="1" customWidth="1"/>
    <col min="83" max="83" width="19.42578125" bestFit="1" customWidth="1"/>
    <col min="84" max="84" width="21.7109375" bestFit="1" customWidth="1"/>
    <col min="85" max="85" width="41.140625" bestFit="1" customWidth="1"/>
    <col min="86" max="86" width="22" bestFit="1" customWidth="1"/>
    <col min="87" max="87" width="30.5703125" bestFit="1" customWidth="1"/>
    <col min="88" max="88" width="26.28515625" bestFit="1" customWidth="1"/>
    <col min="89" max="89" width="22.28515625" bestFit="1" customWidth="1"/>
    <col min="90" max="90" width="19.85546875" bestFit="1" customWidth="1"/>
    <col min="91" max="91" width="31.5703125" customWidth="1"/>
    <col min="92" max="92" width="18" bestFit="1" customWidth="1"/>
    <col min="93" max="93" width="17.5703125" bestFit="1" customWidth="1"/>
    <col min="94" max="94" width="22" bestFit="1" customWidth="1"/>
    <col min="95" max="95" width="16.42578125" bestFit="1" customWidth="1"/>
    <col min="96" max="96" width="23.7109375" bestFit="1" customWidth="1"/>
    <col min="97" max="97" width="16" bestFit="1" customWidth="1"/>
    <col min="98" max="98" width="23.140625" bestFit="1" customWidth="1"/>
    <col min="99" max="99" width="22.85546875" bestFit="1" customWidth="1"/>
    <col min="100" max="100" width="27.28515625" bestFit="1" customWidth="1"/>
    <col min="101" max="101" width="36.28515625" bestFit="1" customWidth="1"/>
    <col min="102" max="102" width="33.140625" bestFit="1" customWidth="1"/>
    <col min="103" max="103" width="30.85546875" bestFit="1" customWidth="1"/>
    <col min="104" max="104" width="30.5703125" bestFit="1" customWidth="1"/>
    <col min="105" max="105" width="18.7109375" bestFit="1" customWidth="1"/>
    <col min="106" max="106" width="17.5703125" bestFit="1" customWidth="1"/>
    <col min="107" max="107" width="18.7109375" bestFit="1" customWidth="1"/>
    <col min="108" max="108" width="25.5703125" bestFit="1" customWidth="1"/>
    <col min="109" max="109" width="18.42578125" bestFit="1" customWidth="1"/>
    <col min="110" max="110" width="27" bestFit="1" customWidth="1"/>
    <col min="111" max="111" width="17.7109375" bestFit="1" customWidth="1"/>
    <col min="112" max="112" width="18.85546875" bestFit="1" customWidth="1"/>
    <col min="113" max="113" width="23.42578125" bestFit="1" customWidth="1"/>
    <col min="114" max="114" width="23.5703125" bestFit="1" customWidth="1"/>
    <col min="115" max="115" width="21.85546875" bestFit="1" customWidth="1"/>
    <col min="116" max="116" width="29.28515625" bestFit="1" customWidth="1"/>
    <col min="117" max="117" width="19.28515625" bestFit="1" customWidth="1"/>
    <col min="118" max="118" width="25.140625" bestFit="1" customWidth="1"/>
    <col min="119" max="119" width="24.5703125" bestFit="1" customWidth="1"/>
    <col min="120" max="120" width="16.5703125" bestFit="1" customWidth="1"/>
    <col min="121" max="121" width="17.85546875" bestFit="1" customWidth="1"/>
    <col min="122" max="122" width="25.85546875" bestFit="1" customWidth="1"/>
    <col min="123" max="123" width="31.140625" bestFit="1" customWidth="1"/>
    <col min="124" max="124" width="30.42578125" bestFit="1" customWidth="1"/>
    <col min="125" max="125" width="17.28515625" bestFit="1" customWidth="1"/>
    <col min="126" max="126" width="23.85546875" bestFit="1" customWidth="1"/>
    <col min="127" max="127" width="21.5703125" bestFit="1" customWidth="1"/>
    <col min="128" max="128" width="24" bestFit="1" customWidth="1"/>
    <col min="129" max="129" width="22.28515625" bestFit="1" customWidth="1"/>
    <col min="130" max="130" width="20.85546875" bestFit="1" customWidth="1"/>
    <col min="131" max="131" width="22.28515625" bestFit="1" customWidth="1"/>
    <col min="132" max="132" width="21.42578125" bestFit="1" customWidth="1"/>
    <col min="133" max="133" width="22" bestFit="1" customWidth="1"/>
    <col min="134" max="134" width="20.140625" bestFit="1" customWidth="1"/>
    <col min="135" max="135" width="18.42578125" bestFit="1" customWidth="1"/>
    <col min="136" max="136" width="20.28515625" bestFit="1" customWidth="1"/>
    <col min="137" max="138" width="24.5703125" bestFit="1" customWidth="1"/>
    <col min="139" max="139" width="12.7109375" bestFit="1" customWidth="1"/>
    <col min="140" max="140" width="24.7109375" bestFit="1" customWidth="1"/>
    <col min="141" max="141" width="18.85546875" bestFit="1" customWidth="1"/>
    <col min="142" max="142" width="21.7109375" bestFit="1" customWidth="1"/>
    <col min="143" max="143" width="16.7109375" bestFit="1" customWidth="1"/>
    <col min="144" max="144" width="23" bestFit="1" customWidth="1"/>
    <col min="145" max="145" width="23.140625" bestFit="1" customWidth="1"/>
    <col min="146" max="146" width="22.140625" bestFit="1" customWidth="1"/>
    <col min="147" max="147" width="24.28515625" bestFit="1" customWidth="1"/>
    <col min="148" max="148" width="20.85546875" bestFit="1" customWidth="1"/>
    <col min="149" max="149" width="34.140625" bestFit="1" customWidth="1"/>
    <col min="150" max="150" width="26.85546875" bestFit="1" customWidth="1"/>
    <col min="151" max="151" width="19.28515625" bestFit="1" customWidth="1"/>
    <col min="152" max="152" width="18.85546875" bestFit="1" customWidth="1"/>
    <col min="153" max="153" width="19" bestFit="1" customWidth="1"/>
    <col min="154" max="154" width="18.28515625" bestFit="1" customWidth="1"/>
    <col min="155" max="155" width="19.85546875" bestFit="1" customWidth="1"/>
    <col min="156" max="156" width="21" bestFit="1" customWidth="1"/>
    <col min="157" max="157" width="20.28515625" bestFit="1" customWidth="1"/>
    <col min="158" max="158" width="22.85546875" bestFit="1" customWidth="1"/>
    <col min="159" max="159" width="28.42578125" bestFit="1" customWidth="1"/>
    <col min="160" max="160" width="26.5703125" bestFit="1" customWidth="1"/>
    <col min="161" max="161" width="28.28515625" bestFit="1" customWidth="1"/>
    <col min="162" max="162" width="24.28515625" bestFit="1" customWidth="1"/>
    <col min="163" max="164" width="33.5703125" bestFit="1" customWidth="1"/>
    <col min="165" max="166" width="21" bestFit="1" customWidth="1"/>
    <col min="167" max="167" width="21.140625" bestFit="1" customWidth="1"/>
    <col min="168" max="168" width="29.140625" bestFit="1" customWidth="1"/>
    <col min="169" max="169" width="14" bestFit="1" customWidth="1"/>
    <col min="170" max="170" width="21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6:F13"/>
  <sheetViews>
    <sheetView workbookViewId="0">
      <selection activeCell="C14" sqref="C14"/>
    </sheetView>
  </sheetViews>
  <sheetFormatPr defaultRowHeight="15" x14ac:dyDescent="0.25"/>
  <sheetData>
    <row r="6" spans="3:6" x14ac:dyDescent="0.25">
      <c r="C6" t="s">
        <v>1</v>
      </c>
      <c r="F6" t="s">
        <v>23</v>
      </c>
    </row>
    <row r="7" spans="3:6" x14ac:dyDescent="0.25">
      <c r="C7" t="s">
        <v>2</v>
      </c>
      <c r="F7" t="s">
        <v>24</v>
      </c>
    </row>
    <row r="8" spans="3:6" x14ac:dyDescent="0.25">
      <c r="C8" t="s">
        <v>3</v>
      </c>
    </row>
    <row r="9" spans="3:6" x14ac:dyDescent="0.25">
      <c r="C9" t="s">
        <v>14</v>
      </c>
    </row>
    <row r="10" spans="3:6" x14ac:dyDescent="0.25">
      <c r="C10" t="s">
        <v>15</v>
      </c>
    </row>
    <row r="11" spans="3:6" x14ac:dyDescent="0.25">
      <c r="C11" t="s">
        <v>16</v>
      </c>
    </row>
    <row r="13" spans="3:6" x14ac:dyDescent="0.25">
      <c r="C1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Analysis</vt:lpstr>
      <vt:lpstr>Sheet3</vt:lpstr>
      <vt:lpstr>Columns</vt:lpstr>
      <vt:lpstr>Plot</vt:lpstr>
      <vt:lpstr>Export</vt:lpstr>
      <vt:lpstr>raw</vt:lpstr>
      <vt:lpstr>LIST</vt:lpstr>
      <vt:lpstr>htapOutputPath</vt:lpstr>
    </vt:vector>
  </TitlesOfParts>
  <Company>NRCan  /  RNCan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Ferguson, Alex</dc:creator>
  <cp:lastModifiedBy>Ferguson, Alex</cp:lastModifiedBy>
  <dcterms:created xsi:type="dcterms:W3CDTF">2020-01-09T15:06:55Z</dcterms:created>
  <dcterms:modified xsi:type="dcterms:W3CDTF">2020-01-30T16:51:28Z</dcterms:modified>
</cp:coreProperties>
</file>